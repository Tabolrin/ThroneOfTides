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Cards" sheetId="2" state="visible" r:id="rId2"/>
    <sheet name="Gunpowder Combo" sheetId="3" state="visible" r:id="rId3"/>
    <sheet name="Captain Decks" sheetId="4" state="visible" r:id="rId4"/>
    <sheet name="Captains" sheetId="5" state="visible" r:id="rId5"/>
    <sheet name="Starter Deck" sheetId="6" state="visible" r:id="rId6"/>
    <sheet name="Economy"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B4D"/>
      <sz val="14"/>
    </font>
    <font>
      <name val="Arial"/>
      <i val="1"/>
      <color rgb="00666666"/>
      <sz val="9"/>
    </font>
    <font>
      <name val="Arial"/>
      <color rgb="000000FF"/>
      <sz val="10"/>
    </font>
    <font>
      <name val="Arial"/>
      <b val="1"/>
      <color rgb="001F3B4D"/>
      <sz val="10"/>
    </font>
    <font>
      <name val="Arial"/>
      <sz val="10"/>
    </font>
  </fonts>
  <fills count="4">
    <fill>
      <patternFill/>
    </fill>
    <fill>
      <patternFill patternType="gray125"/>
    </fill>
    <fill>
      <patternFill patternType="solid">
        <fgColor rgb="00FFF4D6"/>
      </patternFill>
    </fill>
    <fill>
      <patternFill patternType="solid">
        <fgColor rgb="00DCE6E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vertical="center" wrapText="1"/>
    </xf>
    <xf numFmtId="0" fontId="5" fillId="0" borderId="1" pivotButton="0" quotePrefix="0" xfId="0"/>
    <xf numFmtId="0" fontId="3" fillId="2" borderId="1" pivotButton="0" quotePrefix="0" xfId="0"/>
    <xf numFmtId="9" fontId="5" fillId="0" borderId="1" pivotButton="0" quotePrefix="0" xfId="0"/>
    <xf numFmtId="2" fontId="5" fillId="0" borderId="1" pivotButton="0" quotePrefix="0" xfId="0"/>
    <xf numFmtId="0" fontId="4" fillId="0" borderId="1" pivotButton="0" quotePrefix="0" xfId="0"/>
    <xf numFmtId="0" fontId="0" fillId="0" borderId="0" applyAlignment="1" pivotButton="0" quotePrefix="0" xfId="0">
      <alignment wrapText="1"/>
    </xf>
    <xf numFmtId="16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Damage per Mana (cards that deal damage and cost mana)</a:t>
            </a:r>
          </a:p>
        </rich>
      </tx>
    </title>
    <plotArea>
      <barChart>
        <barDir val="bar"/>
        <grouping val="clustered"/>
        <ser>
          <idx val="0"/>
          <order val="0"/>
          <tx>
            <strRef>
              <f>'Cards'!P4</f>
            </strRef>
          </tx>
          <spPr>
            <a:ln>
              <a:prstDash val="solid"/>
            </a:ln>
          </spPr>
          <cat>
            <numRef>
              <f>'Cards'!$O$5:$O$13</f>
            </numRef>
          </cat>
          <val>
            <numRef>
              <f>'Cards'!$P$5:$P$13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Damage per mana</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Difficulty Curve</a:t>
            </a:r>
          </a:p>
        </rich>
      </tx>
    </title>
    <plotArea>
      <lineChart>
        <grouping val="standard"/>
        <ser>
          <idx val="0"/>
          <order val="0"/>
          <tx>
            <strRef>
              <f>'Captains'!C4</f>
            </strRef>
          </tx>
          <spPr>
            <a:ln>
              <a:prstDash val="solid"/>
            </a:ln>
          </spPr>
          <marker>
            <symbol val="none"/>
            <spPr>
              <a:ln>
                <a:prstDash val="solid"/>
              </a:ln>
            </spPr>
          </marker>
          <cat>
            <numRef>
              <f>'Captains'!$B$5:$B$7</f>
            </numRef>
          </cat>
          <val>
            <numRef>
              <f>'Captains'!$C$5:$C$7</f>
            </numRef>
          </val>
        </ser>
        <ser>
          <idx val="1"/>
          <order val="1"/>
          <tx>
            <strRef>
              <f>'Captains'!F4</f>
            </strRef>
          </tx>
          <spPr>
            <a:ln>
              <a:prstDash val="solid"/>
            </a:ln>
          </spPr>
          <marker>
            <symbol val="none"/>
            <spPr>
              <a:ln>
                <a:prstDash val="solid"/>
              </a:ln>
            </spPr>
          </marker>
          <cat>
            <numRef>
              <f>'Captains'!$B$5:$B$7</f>
            </numRef>
          </cat>
          <val>
            <numRef>
              <f>'Captains'!$F$5:$F$7</f>
            </numRef>
          </val>
        </ser>
        <axId val="10"/>
        <axId val="100"/>
      </lineChart>
      <catAx>
        <axId val="10"/>
        <scaling>
          <orientation val="minMax"/>
        </scaling>
        <axPos val="l"/>
        <title>
          <tx>
            <rich>
              <a:bodyPr/>
              <a:p>
                <a:pPr>
                  <a:defRPr/>
                </a:pPr>
                <a:r>
                  <a:t>Level</a:t>
                </a:r>
              </a:p>
            </rich>
          </tx>
        </title>
        <majorTickMark val="none"/>
        <minorTickMark val="none"/>
        <crossAx val="100"/>
        <lblOffset val="100"/>
      </catAx>
      <valAx>
        <axId val="100"/>
        <scaling>
          <orientation val="minMax"/>
        </scaling>
        <axPos val="l"/>
        <majorGridlines/>
        <title>
          <tx>
            <rich>
              <a:bodyPr/>
              <a:p>
                <a:pPr>
                  <a:defRPr/>
                </a:pPr>
                <a:r>
                  <a:t>HP</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Starter Deck Mana Curve</a:t>
            </a:r>
          </a:p>
        </rich>
      </tx>
    </title>
    <plotArea>
      <barChart>
        <barDir val="col"/>
        <grouping val="clustered"/>
        <ser>
          <idx val="0"/>
          <order val="0"/>
          <tx>
            <strRef>
              <f>'Starter Deck'!B31</f>
            </strRef>
          </tx>
          <spPr>
            <a:ln>
              <a:prstDash val="solid"/>
            </a:ln>
          </spPr>
          <cat>
            <numRef>
              <f>'Starter Deck'!$A$32:$A$36</f>
            </numRef>
          </cat>
          <val>
            <numRef>
              <f>'Starter Deck'!$B$32:$B$36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Coin Reward by Level (win at high HP)</a:t>
            </a:r>
          </a:p>
        </rich>
      </tx>
    </title>
    <plotArea>
      <barChart>
        <barDir val="col"/>
        <grouping val="clustered"/>
        <ser>
          <idx val="0"/>
          <order val="0"/>
          <tx>
            <strRef>
              <f>'Economy'!C4</f>
            </strRef>
          </tx>
          <spPr>
            <a:ln>
              <a:prstDash val="solid"/>
            </a:ln>
          </spPr>
          <cat>
            <numRef>
              <f>'Economy'!$B$5:$B$7</f>
            </numRef>
          </cat>
          <val>
            <numRef>
              <f>'Economy'!$C$5:$C$7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14</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12" customWidth="1" min="2" max="2"/>
    <col width="70" customWidth="1" min="3" max="3"/>
  </cols>
  <sheetData>
    <row r="1">
      <c r="A1" s="1" t="inlineStr">
        <is>
          <t>Throne of Tides Balance Model</t>
        </is>
      </c>
    </row>
    <row r="2">
      <c r="A2" s="2" t="inlineStr">
        <is>
          <t>Every stat is read from the live game assets. Yellow cells with blue text are model assumptions you can change.</t>
        </is>
      </c>
    </row>
    <row r="4">
      <c r="A4" s="3" t="inlineStr">
        <is>
          <t>Input</t>
        </is>
      </c>
      <c r="B4" s="3" t="inlineStr">
        <is>
          <t>Value</t>
        </is>
      </c>
      <c r="C4" s="3" t="inlineStr">
        <is>
          <t>Notes</t>
        </is>
      </c>
    </row>
    <row r="5">
      <c r="A5" s="4" t="inlineStr">
        <is>
          <t>Damage per mana (instant baseline)</t>
        </is>
      </c>
      <c r="B5" s="5" t="n">
        <v>2</v>
      </c>
      <c r="C5" s="4" t="inlineStr">
        <is>
          <t>Cannonball, Whale Ram and Lightning all sit on this line</t>
        </is>
      </c>
    </row>
    <row r="6">
      <c r="A6" s="4" t="inlineStr">
        <is>
          <t>Expected battle length (player turns)</t>
        </is>
      </c>
      <c r="B6" s="5" t="n">
        <v>10</v>
      </c>
      <c r="C6" s="4" t="inlineStr">
        <is>
          <t>A 27 card deck at about 2.5 cards per turn lasts 10 to 11 turns</t>
        </is>
      </c>
    </row>
    <row r="7">
      <c r="A7" s="4" t="inlineStr">
        <is>
          <t>HP to damage equivalence</t>
        </is>
      </c>
      <c r="B7" s="5" t="n">
        <v>1</v>
      </c>
      <c r="C7" s="4" t="inlineStr">
        <is>
          <t>1 HP of survival is treated as worth 1 point of damage</t>
        </is>
      </c>
    </row>
    <row r="8">
      <c r="A8" s="4" t="inlineStr">
        <is>
          <t>Player starting HP</t>
        </is>
      </c>
      <c r="B8" s="4" t="n">
        <v>30</v>
      </c>
      <c r="C8" s="4" t="inlineStr">
        <is>
          <t>GameConfigSO</t>
        </is>
      </c>
    </row>
    <row r="9">
      <c r="A9" s="4" t="inlineStr">
        <is>
          <t>Player starting max mana</t>
        </is>
      </c>
      <c r="B9" s="4" t="n">
        <v>3</v>
      </c>
      <c r="C9" s="4" t="inlineStr">
        <is>
          <t>GameConfigSO</t>
        </is>
      </c>
    </row>
    <row r="10">
      <c r="A10" s="4" t="inlineStr">
        <is>
          <t>Hand size</t>
        </is>
      </c>
      <c r="B10" s="4" t="n">
        <v>4</v>
      </c>
      <c r="C10" s="4" t="inlineStr">
        <is>
          <t>GameConfigSO</t>
        </is>
      </c>
    </row>
    <row r="11">
      <c r="A11" s="4" t="inlineStr">
        <is>
          <t>Base storage capacity</t>
        </is>
      </c>
      <c r="B11" s="4" t="n">
        <v>80</v>
      </c>
      <c r="C11" s="4" t="inlineStr">
        <is>
          <t>GameConfigSO</t>
        </is>
      </c>
    </row>
    <row r="12">
      <c r="A12" s="4" t="inlineStr">
        <is>
          <t>Enemy reaction chance cap</t>
        </is>
      </c>
      <c r="B12" s="6" t="n">
        <v>0.75</v>
      </c>
      <c r="C12" s="4" t="inlineStr">
        <is>
          <t>CaptainSO.ChooseReaction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7" customWidth="1" min="3" max="3"/>
    <col width="9" customWidth="1" min="4" max="4"/>
    <col width="9" customWidth="1" min="5" max="5"/>
    <col width="8" customWidth="1" min="6" max="6"/>
    <col width="10" customWidth="1" min="7" max="7"/>
    <col width="10" customWidth="1" min="8" max="8"/>
    <col width="9" customWidth="1" min="9" max="9"/>
    <col width="10" customWidth="1" min="10" max="10"/>
    <col width="11" customWidth="1" min="11" max="11"/>
    <col width="11" customWidth="1" min="12" max="12"/>
    <col width="10" customWidth="1" min="13" max="13"/>
    <col width="18" customWidth="1" min="15" max="15"/>
    <col width="14" customWidth="1" min="16" max="16"/>
  </cols>
  <sheetData>
    <row r="1">
      <c r="A1" s="1" t="inlineStr">
        <is>
          <t>Card Values</t>
        </is>
      </c>
    </row>
    <row r="2">
      <c r="A2" s="2" t="inlineStr">
        <is>
          <t>Total Damage counts DOT over its full duration. Torch is shown without Gunpowder, see the Combo sheet.</t>
        </is>
      </c>
    </row>
    <row r="4">
      <c r="A4" s="3" t="inlineStr">
        <is>
          <t>Card</t>
        </is>
      </c>
      <c r="B4" s="3" t="inlineStr">
        <is>
          <t>Type</t>
        </is>
      </c>
      <c r="C4" s="3" t="inlineStr">
        <is>
          <t>Mana</t>
        </is>
      </c>
      <c r="D4" s="3" t="inlineStr">
        <is>
          <t>Storage</t>
        </is>
      </c>
      <c r="E4" s="3" t="inlineStr">
        <is>
          <t>HP Cost</t>
        </is>
      </c>
      <c r="F4" s="3" t="inlineStr">
        <is>
          <t>Copies</t>
        </is>
      </c>
      <c r="G4" s="3" t="inlineStr">
        <is>
          <t>Instant Damage</t>
        </is>
      </c>
      <c r="H4" s="3" t="inlineStr">
        <is>
          <t>DOT per Round</t>
        </is>
      </c>
      <c r="I4" s="3" t="inlineStr">
        <is>
          <t>DOT Rounds</t>
        </is>
      </c>
      <c r="J4" s="3" t="inlineStr">
        <is>
          <t>Total Damage</t>
        </is>
      </c>
      <c r="K4" s="3" t="inlineStr">
        <is>
          <t>Damage per Mana</t>
        </is>
      </c>
      <c r="L4" s="3" t="inlineStr">
        <is>
          <t>Damage per Storage</t>
        </is>
      </c>
      <c r="M4" s="3" t="inlineStr">
        <is>
          <t>Vs Baseline</t>
        </is>
      </c>
      <c r="O4" s="3" t="inlineStr">
        <is>
          <t>Chart: Card</t>
        </is>
      </c>
      <c r="P4" s="3" t="inlineStr">
        <is>
          <t>Damage per Mana</t>
        </is>
      </c>
    </row>
    <row r="5">
      <c r="A5" s="4" t="inlineStr">
        <is>
          <t>Pistol</t>
        </is>
      </c>
      <c r="B5" s="4" t="inlineStr">
        <is>
          <t>Weapon</t>
        </is>
      </c>
      <c r="C5" s="4" t="n">
        <v>0</v>
      </c>
      <c r="D5" s="4" t="n">
        <v>1</v>
      </c>
      <c r="E5" s="4" t="n">
        <v>0</v>
      </c>
      <c r="F5" s="4" t="inlineStr">
        <is>
          <t>Any</t>
        </is>
      </c>
      <c r="G5" s="4" t="n">
        <v>1</v>
      </c>
      <c r="H5" s="4" t="n">
        <v>0</v>
      </c>
      <c r="I5" s="4" t="n">
        <v>0</v>
      </c>
      <c r="J5" s="4">
        <f>G5+H5*I5</f>
        <v/>
      </c>
      <c r="K5" s="7">
        <f>IF(AND(ISNUMBER(C5),C5&gt;0,J5&gt;0),J5/C5,"")</f>
        <v/>
      </c>
      <c r="L5" s="7">
        <f>IF(J5&gt;0,J5/D5,"")</f>
        <v/>
      </c>
      <c r="M5" s="6">
        <f>IF(K5="","",K5/Assumptions!$B$5)</f>
        <v/>
      </c>
      <c r="O5" s="4">
        <f>A6</f>
        <v/>
      </c>
      <c r="P5" s="7">
        <f>K6</f>
        <v/>
      </c>
    </row>
    <row r="6">
      <c r="A6" s="4" t="inlineStr">
        <is>
          <t>Cannonball</t>
        </is>
      </c>
      <c r="B6" s="4" t="inlineStr">
        <is>
          <t>Weapon</t>
        </is>
      </c>
      <c r="C6" s="4" t="n">
        <v>1</v>
      </c>
      <c r="D6" s="4" t="n">
        <v>1</v>
      </c>
      <c r="E6" s="4" t="n">
        <v>0</v>
      </c>
      <c r="F6" s="4" t="inlineStr">
        <is>
          <t>Any</t>
        </is>
      </c>
      <c r="G6" s="4" t="n">
        <v>2</v>
      </c>
      <c r="H6" s="4" t="n">
        <v>0</v>
      </c>
      <c r="I6" s="4" t="n">
        <v>0</v>
      </c>
      <c r="J6" s="4">
        <f>G6+H6*I6</f>
        <v/>
      </c>
      <c r="K6" s="7">
        <f>IF(AND(ISNUMBER(C6),C6&gt;0,J6&gt;0),J6/C6,"")</f>
        <v/>
      </c>
      <c r="L6" s="7">
        <f>IF(J6&gt;0,J6/D6,"")</f>
        <v/>
      </c>
      <c r="M6" s="6">
        <f>IF(K6="","",K6/Assumptions!$B$5)</f>
        <v/>
      </c>
      <c r="O6" s="4">
        <f>A7</f>
        <v/>
      </c>
      <c r="P6" s="7">
        <f>K7</f>
        <v/>
      </c>
    </row>
    <row r="7">
      <c r="A7" s="4" t="inlineStr">
        <is>
          <t>Chain Shot</t>
        </is>
      </c>
      <c r="B7" s="4" t="inlineStr">
        <is>
          <t>Weapon</t>
        </is>
      </c>
      <c r="C7" s="4" t="n">
        <v>2</v>
      </c>
      <c r="D7" s="4" t="n">
        <v>3</v>
      </c>
      <c r="E7" s="4" t="n">
        <v>0</v>
      </c>
      <c r="F7" s="4" t="inlineStr">
        <is>
          <t>Any</t>
        </is>
      </c>
      <c r="G7" s="4" t="n">
        <v>3</v>
      </c>
      <c r="H7" s="4" t="n">
        <v>0</v>
      </c>
      <c r="I7" s="4" t="n">
        <v>0</v>
      </c>
      <c r="J7" s="4">
        <f>G7+H7*I7</f>
        <v/>
      </c>
      <c r="K7" s="7">
        <f>IF(AND(ISNUMBER(C7),C7&gt;0,J7&gt;0),J7/C7,"")</f>
        <v/>
      </c>
      <c r="L7" s="7">
        <f>IF(J7&gt;0,J7/D7,"")</f>
        <v/>
      </c>
      <c r="M7" s="6">
        <f>IF(K7="","",K7/Assumptions!$B$5)</f>
        <v/>
      </c>
      <c r="O7" s="4">
        <f>A8</f>
        <v/>
      </c>
      <c r="P7" s="7">
        <f>K8</f>
        <v/>
      </c>
    </row>
    <row r="8">
      <c r="A8" s="4" t="inlineStr">
        <is>
          <t>Tidal Wave</t>
        </is>
      </c>
      <c r="B8" s="4" t="inlineStr">
        <is>
          <t>Weapon</t>
        </is>
      </c>
      <c r="C8" s="4" t="n">
        <v>2</v>
      </c>
      <c r="D8" s="4" t="n">
        <v>3</v>
      </c>
      <c r="E8" s="4" t="n">
        <v>0</v>
      </c>
      <c r="F8" s="4" t="inlineStr">
        <is>
          <t>Any</t>
        </is>
      </c>
      <c r="G8" s="4" t="n">
        <v>3</v>
      </c>
      <c r="H8" s="4" t="n">
        <v>0</v>
      </c>
      <c r="I8" s="4" t="n">
        <v>0</v>
      </c>
      <c r="J8" s="4">
        <f>G8+H8*I8</f>
        <v/>
      </c>
      <c r="K8" s="7">
        <f>IF(AND(ISNUMBER(C8),C8&gt;0,J8&gt;0),J8/C8,"")</f>
        <v/>
      </c>
      <c r="L8" s="7">
        <f>IF(J8&gt;0,J8/D8,"")</f>
        <v/>
      </c>
      <c r="M8" s="6">
        <f>IF(K8="","",K8/Assumptions!$B$5)</f>
        <v/>
      </c>
      <c r="O8" s="4">
        <f>A9</f>
        <v/>
      </c>
      <c r="P8" s="7">
        <f>K9</f>
        <v/>
      </c>
    </row>
    <row r="9">
      <c r="A9" s="4" t="inlineStr">
        <is>
          <t>Whale Ram</t>
        </is>
      </c>
      <c r="B9" s="4" t="inlineStr">
        <is>
          <t>Weapon</t>
        </is>
      </c>
      <c r="C9" s="4" t="n">
        <v>3</v>
      </c>
      <c r="D9" s="4" t="n">
        <v>3</v>
      </c>
      <c r="E9" s="4" t="n">
        <v>0</v>
      </c>
      <c r="F9" s="4" t="inlineStr">
        <is>
          <t>Any</t>
        </is>
      </c>
      <c r="G9" s="4" t="n">
        <v>6</v>
      </c>
      <c r="H9" s="4" t="n">
        <v>0</v>
      </c>
      <c r="I9" s="4" t="n">
        <v>0</v>
      </c>
      <c r="J9" s="4">
        <f>G9+H9*I9</f>
        <v/>
      </c>
      <c r="K9" s="7">
        <f>IF(AND(ISNUMBER(C9),C9&gt;0,J9&gt;0),J9/C9,"")</f>
        <v/>
      </c>
      <c r="L9" s="7">
        <f>IF(J9&gt;0,J9/D9,"")</f>
        <v/>
      </c>
      <c r="M9" s="6">
        <f>IF(K9="","",K9/Assumptions!$B$5)</f>
        <v/>
      </c>
      <c r="O9" s="4">
        <f>A10</f>
        <v/>
      </c>
      <c r="P9" s="7">
        <f>K10</f>
        <v/>
      </c>
    </row>
    <row r="10">
      <c r="A10" s="4" t="inlineStr">
        <is>
          <t>Lightning</t>
        </is>
      </c>
      <c r="B10" s="4" t="inlineStr">
        <is>
          <t>Weapon</t>
        </is>
      </c>
      <c r="C10" s="4" t="n">
        <v>4</v>
      </c>
      <c r="D10" s="4" t="n">
        <v>6</v>
      </c>
      <c r="E10" s="4" t="n">
        <v>0</v>
      </c>
      <c r="F10" s="4" t="inlineStr">
        <is>
          <t>Any</t>
        </is>
      </c>
      <c r="G10" s="4" t="n">
        <v>8</v>
      </c>
      <c r="H10" s="4" t="n">
        <v>0</v>
      </c>
      <c r="I10" s="4" t="n">
        <v>0</v>
      </c>
      <c r="J10" s="4">
        <f>G10+H10*I10</f>
        <v/>
      </c>
      <c r="K10" s="7">
        <f>IF(AND(ISNUMBER(C10),C10&gt;0,J10&gt;0),J10/C10,"")</f>
        <v/>
      </c>
      <c r="L10" s="7">
        <f>IF(J10&gt;0,J10/D10,"")</f>
        <v/>
      </c>
      <c r="M10" s="6">
        <f>IF(K10="","",K10/Assumptions!$B$5)</f>
        <v/>
      </c>
      <c r="O10" s="4">
        <f>A11</f>
        <v/>
      </c>
      <c r="P10" s="7">
        <f>K11</f>
        <v/>
      </c>
    </row>
    <row r="11">
      <c r="A11" s="4" t="inlineStr">
        <is>
          <t>The Kraken</t>
        </is>
      </c>
      <c r="B11" s="4" t="inlineStr">
        <is>
          <t>Weapon</t>
        </is>
      </c>
      <c r="C11" s="4" t="n">
        <v>5</v>
      </c>
      <c r="D11" s="4" t="n">
        <v>12</v>
      </c>
      <c r="E11" s="4" t="n">
        <v>4</v>
      </c>
      <c r="F11" s="4" t="n">
        <v>1</v>
      </c>
      <c r="G11" s="4" t="n">
        <v>20</v>
      </c>
      <c r="H11" s="4" t="n">
        <v>0</v>
      </c>
      <c r="I11" s="4" t="n">
        <v>0</v>
      </c>
      <c r="J11" s="4">
        <f>G11+H11*I11</f>
        <v/>
      </c>
      <c r="K11" s="7">
        <f>IF(AND(ISNUMBER(C11),C11&gt;0,J11&gt;0),J11/C11,"")</f>
        <v/>
      </c>
      <c r="L11" s="7">
        <f>IF(J11&gt;0,J11/D11,"")</f>
        <v/>
      </c>
      <c r="M11" s="6">
        <f>IF(K11="","",K11/Assumptions!$B$5)</f>
        <v/>
      </c>
      <c r="O11" s="4">
        <f>A13</f>
        <v/>
      </c>
      <c r="P11" s="7">
        <f>K13</f>
        <v/>
      </c>
    </row>
    <row r="12">
      <c r="A12" s="4" t="inlineStr">
        <is>
          <t>Gunpowder Barrel</t>
        </is>
      </c>
      <c r="B12" s="4" t="inlineStr">
        <is>
          <t>Combo</t>
        </is>
      </c>
      <c r="C12" s="4" t="n">
        <v>1</v>
      </c>
      <c r="D12" s="4" t="n">
        <v>2</v>
      </c>
      <c r="E12" s="4" t="n">
        <v>0</v>
      </c>
      <c r="F12" s="4" t="inlineStr">
        <is>
          <t>Any</t>
        </is>
      </c>
      <c r="G12" s="4" t="n">
        <v>0</v>
      </c>
      <c r="H12" s="4" t="n">
        <v>0</v>
      </c>
      <c r="I12" s="4" t="n">
        <v>0</v>
      </c>
      <c r="J12" s="4">
        <f>G12+H12*I12</f>
        <v/>
      </c>
      <c r="K12" s="7">
        <f>IF(AND(ISNUMBER(C12),C12&gt;0,J12&gt;0),J12/C12,"")</f>
        <v/>
      </c>
      <c r="L12" s="7">
        <f>IF(J12&gt;0,J12/D12,"")</f>
        <v/>
      </c>
      <c r="M12" s="6">
        <f>IF(K12="","",K12/Assumptions!$B$5)</f>
        <v/>
      </c>
      <c r="O12" s="4">
        <f>A14</f>
        <v/>
      </c>
      <c r="P12" s="7">
        <f>K14</f>
        <v/>
      </c>
    </row>
    <row r="13">
      <c r="A13" s="4" t="inlineStr">
        <is>
          <t>Torch</t>
        </is>
      </c>
      <c r="B13" s="4" t="inlineStr">
        <is>
          <t>Combo</t>
        </is>
      </c>
      <c r="C13" s="4" t="n">
        <v>2</v>
      </c>
      <c r="D13" s="4" t="n">
        <v>4</v>
      </c>
      <c r="E13" s="4" t="n">
        <v>0</v>
      </c>
      <c r="F13" s="4" t="inlineStr">
        <is>
          <t>Any</t>
        </is>
      </c>
      <c r="G13" s="4" t="n">
        <v>1</v>
      </c>
      <c r="H13" s="4" t="n">
        <v>0</v>
      </c>
      <c r="I13" s="4" t="n">
        <v>0</v>
      </c>
      <c r="J13" s="4">
        <f>G13+H13*I13</f>
        <v/>
      </c>
      <c r="K13" s="7">
        <f>IF(AND(ISNUMBER(C13),C13&gt;0,J13&gt;0),J13/C13,"")</f>
        <v/>
      </c>
      <c r="L13" s="7">
        <f>IF(J13&gt;0,J13/D13,"")</f>
        <v/>
      </c>
      <c r="M13" s="6">
        <f>IF(K13="","",K13/Assumptions!$B$5)</f>
        <v/>
      </c>
      <c r="O13" s="4">
        <f>A15</f>
        <v/>
      </c>
      <c r="P13" s="7">
        <f>K15</f>
        <v/>
      </c>
    </row>
    <row r="14">
      <c r="A14" s="4" t="inlineStr">
        <is>
          <t>Hail Storm</t>
        </is>
      </c>
      <c r="B14" s="4" t="inlineStr">
        <is>
          <t>DOT</t>
        </is>
      </c>
      <c r="C14" s="4" t="n">
        <v>3</v>
      </c>
      <c r="D14" s="4" t="n">
        <v>3</v>
      </c>
      <c r="E14" s="4" t="n">
        <v>0</v>
      </c>
      <c r="F14" s="4" t="inlineStr">
        <is>
          <t>Any</t>
        </is>
      </c>
      <c r="G14" s="4" t="n">
        <v>0</v>
      </c>
      <c r="H14" s="4" t="n">
        <v>3</v>
      </c>
      <c r="I14" s="4" t="n">
        <v>3</v>
      </c>
      <c r="J14" s="4">
        <f>G14+H14*I14</f>
        <v/>
      </c>
      <c r="K14" s="7">
        <f>IF(AND(ISNUMBER(C14),C14&gt;0,J14&gt;0),J14/C14,"")</f>
        <v/>
      </c>
      <c r="L14" s="7">
        <f>IF(J14&gt;0,J14/D14,"")</f>
        <v/>
      </c>
      <c r="M14" s="6">
        <f>IF(K14="","",K14/Assumptions!$B$5)</f>
        <v/>
      </c>
    </row>
    <row r="15">
      <c r="A15" s="4" t="inlineStr">
        <is>
          <t>Whirlpool</t>
        </is>
      </c>
      <c r="B15" s="4" t="inlineStr">
        <is>
          <t>DOT</t>
        </is>
      </c>
      <c r="C15" s="4" t="n">
        <v>4</v>
      </c>
      <c r="D15" s="4" t="n">
        <v>5</v>
      </c>
      <c r="E15" s="4" t="n">
        <v>0</v>
      </c>
      <c r="F15" s="4" t="inlineStr">
        <is>
          <t>Any</t>
        </is>
      </c>
      <c r="G15" s="4" t="n">
        <v>0</v>
      </c>
      <c r="H15" s="4" t="n">
        <v>4</v>
      </c>
      <c r="I15" s="4" t="n">
        <v>3</v>
      </c>
      <c r="J15" s="4">
        <f>G15+H15*I15</f>
        <v/>
      </c>
      <c r="K15" s="7">
        <f>IF(AND(ISNUMBER(C15),C15&gt;0,J15&gt;0),J15/C15,"")</f>
        <v/>
      </c>
      <c r="L15" s="7">
        <f>IF(J15&gt;0,J15/D15,"")</f>
        <v/>
      </c>
      <c r="M15" s="6">
        <f>IF(K15="","",K15/Assumptions!$B$5)</f>
        <v/>
      </c>
    </row>
    <row r="16">
      <c r="A16" s="4" t="inlineStr">
        <is>
          <t>Essence Plunder</t>
        </is>
      </c>
      <c r="B16" s="4" t="inlineStr">
        <is>
          <t>Action</t>
        </is>
      </c>
      <c r="C16" s="4" t="n">
        <v>0</v>
      </c>
      <c r="D16" s="4" t="n">
        <v>6</v>
      </c>
      <c r="E16" s="4" t="n">
        <v>3</v>
      </c>
      <c r="F16" s="4" t="n">
        <v>2</v>
      </c>
      <c r="G16" s="4" t="n">
        <v>0</v>
      </c>
      <c r="H16" s="4" t="n">
        <v>0</v>
      </c>
      <c r="I16" s="4" t="n">
        <v>0</v>
      </c>
      <c r="J16" s="4">
        <f>G16+H16*I16</f>
        <v/>
      </c>
      <c r="K16" s="7">
        <f>IF(AND(ISNUMBER(C16),C16&gt;0,J16&gt;0),J16/C16,"")</f>
        <v/>
      </c>
      <c r="L16" s="7">
        <f>IF(J16&gt;0,J16/D16,"")</f>
        <v/>
      </c>
      <c r="M16" s="6">
        <f>IF(K16="","",K16/Assumptions!$B$5)</f>
        <v/>
      </c>
    </row>
    <row r="17">
      <c r="A17" s="4" t="inlineStr">
        <is>
          <t>Recon Parrot</t>
        </is>
      </c>
      <c r="B17" s="4" t="inlineStr">
        <is>
          <t>Action</t>
        </is>
      </c>
      <c r="C17" s="4" t="n">
        <v>1</v>
      </c>
      <c r="D17" s="4" t="n">
        <v>2</v>
      </c>
      <c r="E17" s="4" t="n">
        <v>0</v>
      </c>
      <c r="F17" s="4" t="inlineStr">
        <is>
          <t>Any</t>
        </is>
      </c>
      <c r="G17" s="4" t="n">
        <v>0</v>
      </c>
      <c r="H17" s="4" t="n">
        <v>0</v>
      </c>
      <c r="I17" s="4" t="n">
        <v>0</v>
      </c>
      <c r="J17" s="4">
        <f>G17+H17*I17</f>
        <v/>
      </c>
      <c r="K17" s="7">
        <f>IF(AND(ISNUMBER(C17),C17&gt;0,J17&gt;0),J17/C17,"")</f>
        <v/>
      </c>
      <c r="L17" s="7">
        <f>IF(J17&gt;0,J17/D17,"")</f>
        <v/>
      </c>
      <c r="M17" s="6">
        <f>IF(K17="","",K17/Assumptions!$B$5)</f>
        <v/>
      </c>
    </row>
    <row r="18">
      <c r="A18" s="4" t="inlineStr">
        <is>
          <t>Rum</t>
        </is>
      </c>
      <c r="B18" s="4" t="inlineStr">
        <is>
          <t>Action</t>
        </is>
      </c>
      <c r="C18" s="4" t="n">
        <v>1</v>
      </c>
      <c r="D18" s="4" t="n">
        <v>2</v>
      </c>
      <c r="E18" s="4" t="n">
        <v>0</v>
      </c>
      <c r="F18" s="4" t="inlineStr">
        <is>
          <t>Any</t>
        </is>
      </c>
      <c r="G18" s="4" t="n">
        <v>0</v>
      </c>
      <c r="H18" s="4" t="n">
        <v>0</v>
      </c>
      <c r="I18" s="4" t="n">
        <v>0</v>
      </c>
      <c r="J18" s="4">
        <f>G18+H18*I18</f>
        <v/>
      </c>
      <c r="K18" s="7">
        <f>IF(AND(ISNUMBER(C18),C18&gt;0,J18&gt;0),J18/C18,"")</f>
        <v/>
      </c>
      <c r="L18" s="7">
        <f>IF(J18&gt;0,J18/D18,"")</f>
        <v/>
      </c>
      <c r="M18" s="6">
        <f>IF(K18="","",K18/Assumptions!$B$5)</f>
        <v/>
      </c>
    </row>
    <row r="19">
      <c r="A19" s="4" t="inlineStr">
        <is>
          <t>Monkey Grab</t>
        </is>
      </c>
      <c r="B19" s="4" t="inlineStr">
        <is>
          <t>Action</t>
        </is>
      </c>
      <c r="C19" s="4" t="n">
        <v>2</v>
      </c>
      <c r="D19" s="4" t="n">
        <v>3</v>
      </c>
      <c r="E19" s="4" t="n">
        <v>0</v>
      </c>
      <c r="F19" s="4" t="inlineStr">
        <is>
          <t>Any</t>
        </is>
      </c>
      <c r="G19" s="4" t="n">
        <v>0</v>
      </c>
      <c r="H19" s="4" t="n">
        <v>0</v>
      </c>
      <c r="I19" s="4" t="n">
        <v>0</v>
      </c>
      <c r="J19" s="4">
        <f>G19+H19*I19</f>
        <v/>
      </c>
      <c r="K19" s="7">
        <f>IF(AND(ISNUMBER(C19),C19&gt;0,J19&gt;0),J19/C19,"")</f>
        <v/>
      </c>
      <c r="L19" s="7">
        <f>IF(J19&gt;0,J19/D19,"")</f>
        <v/>
      </c>
      <c r="M19" s="6">
        <f>IF(K19="","",K19/Assumptions!$B$5)</f>
        <v/>
      </c>
    </row>
    <row r="20">
      <c r="A20" s="4" t="inlineStr">
        <is>
          <t>Treasure Chest</t>
        </is>
      </c>
      <c r="B20" s="4" t="inlineStr">
        <is>
          <t>Action</t>
        </is>
      </c>
      <c r="C20" s="4" t="n">
        <v>2</v>
      </c>
      <c r="D20" s="4" t="n">
        <v>5</v>
      </c>
      <c r="E20" s="4" t="n">
        <v>0</v>
      </c>
      <c r="F20" s="4" t="inlineStr">
        <is>
          <t>Any</t>
        </is>
      </c>
      <c r="G20" s="4" t="n">
        <v>0</v>
      </c>
      <c r="H20" s="4" t="n">
        <v>0</v>
      </c>
      <c r="I20" s="4" t="n">
        <v>0</v>
      </c>
      <c r="J20" s="4">
        <f>G20+H20*I20</f>
        <v/>
      </c>
      <c r="K20" s="7">
        <f>IF(AND(ISNUMBER(C20),C20&gt;0,J20&gt;0),J20/C20,"")</f>
        <v/>
      </c>
      <c r="L20" s="7">
        <f>IF(J20&gt;0,J20/D20,"")</f>
        <v/>
      </c>
      <c r="M20" s="6">
        <f>IF(K20="","",K20/Assumptions!$B$5)</f>
        <v/>
      </c>
    </row>
    <row r="21">
      <c r="A21" s="4" t="inlineStr">
        <is>
          <t>High Spirits</t>
        </is>
      </c>
      <c r="B21" s="4" t="inlineStr">
        <is>
          <t>Action</t>
        </is>
      </c>
      <c r="C21" s="4" t="n">
        <v>3</v>
      </c>
      <c r="D21" s="4" t="n">
        <v>3</v>
      </c>
      <c r="E21" s="4" t="n">
        <v>0</v>
      </c>
      <c r="F21" s="4" t="inlineStr">
        <is>
          <t>Any</t>
        </is>
      </c>
      <c r="G21" s="4" t="n">
        <v>0</v>
      </c>
      <c r="H21" s="4" t="n">
        <v>0</v>
      </c>
      <c r="I21" s="4" t="n">
        <v>0</v>
      </c>
      <c r="J21" s="4">
        <f>G21+H21*I21</f>
        <v/>
      </c>
      <c r="K21" s="7">
        <f>IF(AND(ISNUMBER(C21),C21&gt;0,J21&gt;0),J21/C21,"")</f>
        <v/>
      </c>
      <c r="L21" s="7">
        <f>IF(J21&gt;0,J21/D21,"")</f>
        <v/>
      </c>
      <c r="M21" s="6">
        <f>IF(K21="","",K21/Assumptions!$B$5)</f>
        <v/>
      </c>
    </row>
    <row r="22">
      <c r="A22" s="4" t="inlineStr">
        <is>
          <t>Locker's Return</t>
        </is>
      </c>
      <c r="B22" s="4" t="inlineStr">
        <is>
          <t>Action</t>
        </is>
      </c>
      <c r="C22" s="4" t="n">
        <v>3</v>
      </c>
      <c r="D22" s="4" t="n">
        <v>4</v>
      </c>
      <c r="E22" s="4" t="n">
        <v>0</v>
      </c>
      <c r="F22" s="4" t="inlineStr">
        <is>
          <t>Any</t>
        </is>
      </c>
      <c r="G22" s="4" t="n">
        <v>0</v>
      </c>
      <c r="H22" s="4" t="n">
        <v>0</v>
      </c>
      <c r="I22" s="4" t="n">
        <v>0</v>
      </c>
      <c r="J22" s="4">
        <f>G22+H22*I22</f>
        <v/>
      </c>
      <c r="K22" s="7">
        <f>IF(AND(ISNUMBER(C22),C22&gt;0,J22&gt;0),J22/C22,"")</f>
        <v/>
      </c>
      <c r="L22" s="7">
        <f>IF(J22&gt;0,J22/D22,"")</f>
        <v/>
      </c>
      <c r="M22" s="6">
        <f>IF(K22="","",K22/Assumptions!$B$5)</f>
        <v/>
      </c>
    </row>
    <row r="23">
      <c r="A23" s="4" t="inlineStr">
        <is>
          <t>Siren Song</t>
        </is>
      </c>
      <c r="B23" s="4" t="inlineStr">
        <is>
          <t>Action</t>
        </is>
      </c>
      <c r="C23" s="4" t="n">
        <v>3</v>
      </c>
      <c r="D23" s="4" t="n">
        <v>4</v>
      </c>
      <c r="E23" s="4" t="n">
        <v>0</v>
      </c>
      <c r="F23" s="4" t="inlineStr">
        <is>
          <t>Any</t>
        </is>
      </c>
      <c r="G23" s="4" t="n">
        <v>0</v>
      </c>
      <c r="H23" s="4" t="n">
        <v>0</v>
      </c>
      <c r="I23" s="4" t="n">
        <v>0</v>
      </c>
      <c r="J23" s="4">
        <f>G23+H23*I23</f>
        <v/>
      </c>
      <c r="K23" s="7">
        <f>IF(AND(ISNUMBER(C23),C23&gt;0,J23&gt;0),J23/C23,"")</f>
        <v/>
      </c>
      <c r="L23" s="7">
        <f>IF(J23&gt;0,J23/D23,"")</f>
        <v/>
      </c>
      <c r="M23" s="6">
        <f>IF(K23="","",K23/Assumptions!$B$5)</f>
        <v/>
      </c>
    </row>
    <row r="24">
      <c r="A24" s="4" t="inlineStr">
        <is>
          <t>Counter Gale</t>
        </is>
      </c>
      <c r="B24" s="4" t="inlineStr">
        <is>
          <t>Reaction</t>
        </is>
      </c>
      <c r="C24" s="4" t="inlineStr">
        <is>
          <t>-</t>
        </is>
      </c>
      <c r="D24" s="4" t="n">
        <v>7</v>
      </c>
      <c r="E24" s="4" t="n">
        <v>0</v>
      </c>
      <c r="F24" s="4" t="n">
        <v>2</v>
      </c>
      <c r="G24" s="4" t="n">
        <v>0</v>
      </c>
      <c r="H24" s="4" t="n">
        <v>0</v>
      </c>
      <c r="I24" s="4" t="n">
        <v>0</v>
      </c>
      <c r="J24" s="4">
        <f>G24+H24*I24</f>
        <v/>
      </c>
      <c r="K24" s="7">
        <f>IF(AND(ISNUMBER(C24),C24&gt;0,J24&gt;0),J24/C24,"")</f>
        <v/>
      </c>
      <c r="L24" s="7">
        <f>IF(J24&gt;0,J24/D24,"")</f>
        <v/>
      </c>
      <c r="M24" s="6">
        <f>IF(K24="","",K24/Assumptions!$B$5)</f>
        <v/>
      </c>
    </row>
    <row r="25">
      <c r="A25" s="4" t="inlineStr">
        <is>
          <t>Dead Man's Turn</t>
        </is>
      </c>
      <c r="B25" s="4" t="inlineStr">
        <is>
          <t>Reaction</t>
        </is>
      </c>
      <c r="C25" s="4" t="inlineStr">
        <is>
          <t>-</t>
        </is>
      </c>
      <c r="D25" s="4" t="n">
        <v>8</v>
      </c>
      <c r="E25" s="4" t="n">
        <v>0</v>
      </c>
      <c r="F25" s="4" t="n">
        <v>2</v>
      </c>
      <c r="G25" s="4" t="n">
        <v>0</v>
      </c>
      <c r="H25" s="4" t="n">
        <v>0</v>
      </c>
      <c r="I25" s="4" t="n">
        <v>0</v>
      </c>
      <c r="J25" s="4">
        <f>G25+H25*I25</f>
        <v/>
      </c>
      <c r="K25" s="7">
        <f>IF(AND(ISNUMBER(C25),C25&gt;0,J25&gt;0),J25/C25,"")</f>
        <v/>
      </c>
      <c r="L25" s="7">
        <f>IF(J25&gt;0,J25/D25,"")</f>
        <v/>
      </c>
      <c r="M25" s="6">
        <f>IF(K25="","",K25/Assumptions!$B$5)</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6" customWidth="1" min="1" max="1"/>
    <col width="15" customWidth="1" min="2" max="2"/>
    <col width="12" customWidth="1" min="3" max="3"/>
    <col width="14" customWidth="1" min="4" max="4"/>
    <col width="16" customWidth="1" min="5" max="5"/>
    <col width="12" customWidth="1" min="6" max="6"/>
  </cols>
  <sheetData>
    <row r="1">
      <c r="A1" s="1" t="inlineStr">
        <is>
          <t>Gunpowder and Torch</t>
        </is>
      </c>
    </row>
    <row r="2">
      <c r="A2" s="2" t="inlineStr">
        <is>
          <t>Torch ignites for Combo Damage plus Stack Bonus per stack beyond the first. Max stack is 4.</t>
        </is>
      </c>
    </row>
    <row r="4">
      <c r="A4" s="3" t="inlineStr">
        <is>
          <t>Torch base combo damage</t>
        </is>
      </c>
      <c r="B4" s="3" t="n">
        <v>8</v>
      </c>
    </row>
    <row r="5">
      <c r="A5" s="8" t="inlineStr">
        <is>
          <t>Damage per extra stack</t>
        </is>
      </c>
      <c r="B5" s="4" t="n">
        <v>2</v>
      </c>
    </row>
    <row r="6">
      <c r="A6" s="8" t="inlineStr">
        <is>
          <t>Barrel mana</t>
        </is>
      </c>
      <c r="B6" s="4" t="n">
        <v>1</v>
      </c>
    </row>
    <row r="7">
      <c r="A7" s="8" t="inlineStr">
        <is>
          <t>Torch mana</t>
        </is>
      </c>
      <c r="B7" s="4" t="n">
        <v>2</v>
      </c>
    </row>
    <row r="10">
      <c r="A10" s="3" t="inlineStr">
        <is>
          <t>Stacks</t>
        </is>
      </c>
      <c r="B10" s="3" t="inlineStr">
        <is>
          <t>Barrels Played</t>
        </is>
      </c>
      <c r="C10" s="3" t="inlineStr">
        <is>
          <t>Total Mana</t>
        </is>
      </c>
      <c r="D10" s="3" t="inlineStr">
        <is>
          <t>Torch Damage</t>
        </is>
      </c>
      <c r="E10" s="3" t="inlineStr">
        <is>
          <t>Damage per Mana</t>
        </is>
      </c>
      <c r="F10" s="3" t="inlineStr">
        <is>
          <t>Vs Baseline</t>
        </is>
      </c>
    </row>
    <row r="11">
      <c r="A11" s="4" t="n">
        <v>1</v>
      </c>
      <c r="B11" s="4" t="n">
        <v>1</v>
      </c>
      <c r="C11" s="4">
        <f>B11*$B$6+$B$7</f>
        <v/>
      </c>
      <c r="D11" s="4">
        <f>$B$4+(A11-1)*$B$5</f>
        <v/>
      </c>
      <c r="E11" s="7">
        <f>D11/C11</f>
        <v/>
      </c>
      <c r="F11" s="6">
        <f>E11/Assumptions!$B$5</f>
        <v/>
      </c>
    </row>
    <row r="12">
      <c r="A12" s="4" t="n">
        <v>2</v>
      </c>
      <c r="B12" s="4" t="n">
        <v>2</v>
      </c>
      <c r="C12" s="4">
        <f>B12*$B$6+$B$7</f>
        <v/>
      </c>
      <c r="D12" s="4">
        <f>$B$4+(A12-1)*$B$5</f>
        <v/>
      </c>
      <c r="E12" s="7">
        <f>D12/C12</f>
        <v/>
      </c>
      <c r="F12" s="6">
        <f>E12/Assumptions!$B$5</f>
        <v/>
      </c>
    </row>
    <row r="13">
      <c r="A13" s="4" t="n">
        <v>3</v>
      </c>
      <c r="B13" s="4" t="n">
        <v>3</v>
      </c>
      <c r="C13" s="4">
        <f>B13*$B$6+$B$7</f>
        <v/>
      </c>
      <c r="D13" s="4">
        <f>$B$4+(A13-1)*$B$5</f>
        <v/>
      </c>
      <c r="E13" s="7">
        <f>D13/C13</f>
        <v/>
      </c>
      <c r="F13" s="6">
        <f>E13/Assumptions!$B$5</f>
        <v/>
      </c>
    </row>
    <row r="14">
      <c r="A14" s="4" t="n">
        <v>4</v>
      </c>
      <c r="B14" s="4" t="n">
        <v>4</v>
      </c>
      <c r="C14" s="4">
        <f>B14*$B$6+$B$7</f>
        <v/>
      </c>
      <c r="D14" s="4">
        <f>$B$4+(A14-1)*$B$5</f>
        <v/>
      </c>
      <c r="E14" s="7">
        <f>D14/C14</f>
        <v/>
      </c>
      <c r="F14" s="6">
        <f>E14/Assumptions!$B$5</f>
        <v/>
      </c>
    </row>
    <row r="16">
      <c r="A16" s="9" t="inlineStr">
        <is>
          <t>Reading: one stack already beats the instant baseline because the combo takes two turns of setup and can be lost. Every extra stack is a cheaper damage increment, which rewards committing to the plan.</t>
        </is>
      </c>
    </row>
    <row r="17"/>
    <row r="18"/>
  </sheetData>
  <mergeCells count="1">
    <mergeCell ref="A16: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8" customWidth="1" min="3" max="3"/>
    <col width="7" customWidth="1" min="4" max="4"/>
    <col width="15" customWidth="1" min="5" max="5"/>
    <col width="13" customWidth="1" min="6" max="6"/>
    <col width="11" customWidth="1" min="7" max="7"/>
  </cols>
  <sheetData>
    <row r="1">
      <c r="A1" s="1" t="inlineStr">
        <is>
          <t>Captain Deck Lists</t>
        </is>
      </c>
    </row>
    <row r="2">
      <c r="A2" s="2" t="inlineStr">
        <is>
          <t>Damage per copy is looked up from the Cards sheet.</t>
        </is>
      </c>
    </row>
    <row r="4">
      <c r="A4" s="3" t="inlineStr">
        <is>
          <t>Captain</t>
        </is>
      </c>
      <c r="B4" s="3" t="inlineStr">
        <is>
          <t>Card</t>
        </is>
      </c>
      <c r="C4" s="3" t="inlineStr">
        <is>
          <t>Count</t>
        </is>
      </c>
      <c r="D4" s="3" t="inlineStr">
        <is>
          <t>Mana</t>
        </is>
      </c>
      <c r="E4" s="3" t="inlineStr">
        <is>
          <t>Damage per Copy</t>
        </is>
      </c>
      <c r="F4" s="3" t="inlineStr">
        <is>
          <t>Total Damage</t>
        </is>
      </c>
      <c r="G4" s="3" t="inlineStr">
        <is>
          <t>Total Mana</t>
        </is>
      </c>
    </row>
    <row r="5">
      <c r="A5" s="4" t="inlineStr">
        <is>
          <t>Captain Rumboat</t>
        </is>
      </c>
      <c r="B5" s="4" t="inlineStr">
        <is>
          <t>Pistol</t>
        </is>
      </c>
      <c r="C5" s="4" t="n">
        <v>2</v>
      </c>
      <c r="D5" s="4">
        <f>VLOOKUP(B5,Cards!$A$5:$M$25,3,FALSE)</f>
        <v/>
      </c>
      <c r="E5" s="4">
        <f>VLOOKUP(B5,Cards!$A$5:$M$25,10,FALSE)</f>
        <v/>
      </c>
      <c r="F5" s="4">
        <f>C5*E5</f>
        <v/>
      </c>
      <c r="G5" s="4">
        <f>IF(ISNUMBER(D5),C5*D5,0)</f>
        <v/>
      </c>
    </row>
    <row r="6">
      <c r="A6" s="4" t="inlineStr">
        <is>
          <t>Captain Rumboat</t>
        </is>
      </c>
      <c r="B6" s="4" t="inlineStr">
        <is>
          <t>Cannonball</t>
        </is>
      </c>
      <c r="C6" s="4" t="n">
        <v>2</v>
      </c>
      <c r="D6" s="4">
        <f>VLOOKUP(B6,Cards!$A$5:$M$25,3,FALSE)</f>
        <v/>
      </c>
      <c r="E6" s="4">
        <f>VLOOKUP(B6,Cards!$A$5:$M$25,10,FALSE)</f>
        <v/>
      </c>
      <c r="F6" s="4">
        <f>C6*E6</f>
        <v/>
      </c>
      <c r="G6" s="4">
        <f>IF(ISNUMBER(D6),C6*D6,0)</f>
        <v/>
      </c>
    </row>
    <row r="7">
      <c r="A7" s="4" t="inlineStr">
        <is>
          <t>Captain Rumboat</t>
        </is>
      </c>
      <c r="B7" s="4" t="inlineStr">
        <is>
          <t>Chain Shot</t>
        </is>
      </c>
      <c r="C7" s="4" t="n">
        <v>3</v>
      </c>
      <c r="D7" s="4">
        <f>VLOOKUP(B7,Cards!$A$5:$M$25,3,FALSE)</f>
        <v/>
      </c>
      <c r="E7" s="4">
        <f>VLOOKUP(B7,Cards!$A$5:$M$25,10,FALSE)</f>
        <v/>
      </c>
      <c r="F7" s="4">
        <f>C7*E7</f>
        <v/>
      </c>
      <c r="G7" s="4">
        <f>IF(ISNUMBER(D7),C7*D7,0)</f>
        <v/>
      </c>
    </row>
    <row r="8">
      <c r="A8" s="4" t="inlineStr">
        <is>
          <t>Captain Rumboat</t>
        </is>
      </c>
      <c r="B8" s="4" t="inlineStr">
        <is>
          <t>Whale Ram</t>
        </is>
      </c>
      <c r="C8" s="4" t="n">
        <v>4</v>
      </c>
      <c r="D8" s="4">
        <f>VLOOKUP(B8,Cards!$A$5:$M$25,3,FALSE)</f>
        <v/>
      </c>
      <c r="E8" s="4">
        <f>VLOOKUP(B8,Cards!$A$5:$M$25,10,FALSE)</f>
        <v/>
      </c>
      <c r="F8" s="4">
        <f>C8*E8</f>
        <v/>
      </c>
      <c r="G8" s="4">
        <f>IF(ISNUMBER(D8),C8*D8,0)</f>
        <v/>
      </c>
    </row>
    <row r="9">
      <c r="A9" s="4" t="inlineStr">
        <is>
          <t>Captain Rumboat</t>
        </is>
      </c>
      <c r="B9" s="4" t="inlineStr">
        <is>
          <t>Gunpowder Barrel</t>
        </is>
      </c>
      <c r="C9" s="4" t="n">
        <v>4</v>
      </c>
      <c r="D9" s="4">
        <f>VLOOKUP(B9,Cards!$A$5:$M$25,3,FALSE)</f>
        <v/>
      </c>
      <c r="E9" s="4">
        <f>VLOOKUP(B9,Cards!$A$5:$M$25,10,FALSE)</f>
        <v/>
      </c>
      <c r="F9" s="4">
        <f>C9*E9</f>
        <v/>
      </c>
      <c r="G9" s="4">
        <f>IF(ISNUMBER(D9),C9*D9,0)</f>
        <v/>
      </c>
    </row>
    <row r="10">
      <c r="A10" s="4" t="inlineStr">
        <is>
          <t>Captain Rumboat</t>
        </is>
      </c>
      <c r="B10" s="4" t="inlineStr">
        <is>
          <t>Torch</t>
        </is>
      </c>
      <c r="C10" s="4" t="n">
        <v>4</v>
      </c>
      <c r="D10" s="4">
        <f>VLOOKUP(B10,Cards!$A$5:$M$25,3,FALSE)</f>
        <v/>
      </c>
      <c r="E10" s="4">
        <f>VLOOKUP(B10,Cards!$A$5:$M$25,10,FALSE)</f>
        <v/>
      </c>
      <c r="F10" s="4">
        <f>C10*E10</f>
        <v/>
      </c>
      <c r="G10" s="4">
        <f>IF(ISNUMBER(D10),C10*D10,0)</f>
        <v/>
      </c>
    </row>
    <row r="11">
      <c r="A11" s="4" t="inlineStr">
        <is>
          <t>Captain Rumboat</t>
        </is>
      </c>
      <c r="B11" s="4" t="inlineStr">
        <is>
          <t>Monkey Grab</t>
        </is>
      </c>
      <c r="C11" s="4" t="n">
        <v>3</v>
      </c>
      <c r="D11" s="4">
        <f>VLOOKUP(B11,Cards!$A$5:$M$25,3,FALSE)</f>
        <v/>
      </c>
      <c r="E11" s="4">
        <f>VLOOKUP(B11,Cards!$A$5:$M$25,10,FALSE)</f>
        <v/>
      </c>
      <c r="F11" s="4">
        <f>C11*E11</f>
        <v/>
      </c>
      <c r="G11" s="4">
        <f>IF(ISNUMBER(D11),C11*D11,0)</f>
        <v/>
      </c>
    </row>
    <row r="12">
      <c r="A12" s="4" t="inlineStr">
        <is>
          <t>Captain Rumboat</t>
        </is>
      </c>
      <c r="B12" s="4" t="inlineStr">
        <is>
          <t>Hail Storm</t>
        </is>
      </c>
      <c r="C12" s="4" t="n">
        <v>2</v>
      </c>
      <c r="D12" s="4">
        <f>VLOOKUP(B12,Cards!$A$5:$M$25,3,FALSE)</f>
        <v/>
      </c>
      <c r="E12" s="4">
        <f>VLOOKUP(B12,Cards!$A$5:$M$25,10,FALSE)</f>
        <v/>
      </c>
      <c r="F12" s="4">
        <f>C12*E12</f>
        <v/>
      </c>
      <c r="G12" s="4">
        <f>IF(ISNUMBER(D12),C12*D12,0)</f>
        <v/>
      </c>
    </row>
    <row r="13">
      <c r="A13" s="4" t="inlineStr">
        <is>
          <t>Captain Rumboat</t>
        </is>
      </c>
      <c r="B13" s="4" t="inlineStr">
        <is>
          <t>Lightning</t>
        </is>
      </c>
      <c r="C13" s="4" t="n">
        <v>2</v>
      </c>
      <c r="D13" s="4">
        <f>VLOOKUP(B13,Cards!$A$5:$M$25,3,FALSE)</f>
        <v/>
      </c>
      <c r="E13" s="4">
        <f>VLOOKUP(B13,Cards!$A$5:$M$25,10,FALSE)</f>
        <v/>
      </c>
      <c r="F13" s="4">
        <f>C13*E13</f>
        <v/>
      </c>
      <c r="G13" s="4">
        <f>IF(ISNUMBER(D13),C13*D13,0)</f>
        <v/>
      </c>
    </row>
    <row r="14">
      <c r="A14" s="4" t="inlineStr">
        <is>
          <t>Captain Rumboat</t>
        </is>
      </c>
      <c r="B14" s="4" t="inlineStr">
        <is>
          <t>Counter Gale</t>
        </is>
      </c>
      <c r="C14" s="4" t="n">
        <v>1</v>
      </c>
      <c r="D14" s="4">
        <f>VLOOKUP(B14,Cards!$A$5:$M$25,3,FALSE)</f>
        <v/>
      </c>
      <c r="E14" s="4">
        <f>VLOOKUP(B14,Cards!$A$5:$M$25,10,FALSE)</f>
        <v/>
      </c>
      <c r="F14" s="4">
        <f>C14*E14</f>
        <v/>
      </c>
      <c r="G14" s="4">
        <f>IF(ISNUMBER(D14),C14*D14,0)</f>
        <v/>
      </c>
    </row>
    <row r="15">
      <c r="A15" s="4" t="inlineStr">
        <is>
          <t>Captain Rumboat</t>
        </is>
      </c>
      <c r="B15" s="4" t="inlineStr">
        <is>
          <t>Dead Man's Turn</t>
        </is>
      </c>
      <c r="C15" s="4" t="n">
        <v>1</v>
      </c>
      <c r="D15" s="4">
        <f>VLOOKUP(B15,Cards!$A$5:$M$25,3,FALSE)</f>
        <v/>
      </c>
      <c r="E15" s="4">
        <f>VLOOKUP(B15,Cards!$A$5:$M$25,10,FALSE)</f>
        <v/>
      </c>
      <c r="F15" s="4">
        <f>C15*E15</f>
        <v/>
      </c>
      <c r="G15" s="4">
        <f>IF(ISNUMBER(D15),C15*D15,0)</f>
        <v/>
      </c>
    </row>
    <row r="16">
      <c r="A16" s="4" t="inlineStr">
        <is>
          <t>Captain Rumboat</t>
        </is>
      </c>
      <c r="B16" s="4" t="inlineStr">
        <is>
          <t>Treasure Chest</t>
        </is>
      </c>
      <c r="C16" s="4" t="n">
        <v>1</v>
      </c>
      <c r="D16" s="4">
        <f>VLOOKUP(B16,Cards!$A$5:$M$25,3,FALSE)</f>
        <v/>
      </c>
      <c r="E16" s="4">
        <f>VLOOKUP(B16,Cards!$A$5:$M$25,10,FALSE)</f>
        <v/>
      </c>
      <c r="F16" s="4">
        <f>C16*E16</f>
        <v/>
      </c>
      <c r="G16" s="4">
        <f>IF(ISNUMBER(D16),C16*D16,0)</f>
        <v/>
      </c>
    </row>
    <row r="17">
      <c r="A17" s="4" t="inlineStr">
        <is>
          <t>Captain Rumboat</t>
        </is>
      </c>
      <c r="B17" s="4" t="inlineStr">
        <is>
          <t>Rum</t>
        </is>
      </c>
      <c r="C17" s="4" t="n">
        <v>1</v>
      </c>
      <c r="D17" s="4">
        <f>VLOOKUP(B17,Cards!$A$5:$M$25,3,FALSE)</f>
        <v/>
      </c>
      <c r="E17" s="4">
        <f>VLOOKUP(B17,Cards!$A$5:$M$25,10,FALSE)</f>
        <v/>
      </c>
      <c r="F17" s="4">
        <f>C17*E17</f>
        <v/>
      </c>
      <c r="G17" s="4">
        <f>IF(ISNUMBER(D17),C17*D17,0)</f>
        <v/>
      </c>
    </row>
    <row r="18">
      <c r="A18" s="4" t="inlineStr">
        <is>
          <t>Captain Loreley</t>
        </is>
      </c>
      <c r="B18" s="4" t="inlineStr">
        <is>
          <t>Siren Song</t>
        </is>
      </c>
      <c r="C18" s="4" t="n">
        <v>4</v>
      </c>
      <c r="D18" s="4">
        <f>VLOOKUP(B18,Cards!$A$5:$M$25,3,FALSE)</f>
        <v/>
      </c>
      <c r="E18" s="4">
        <f>VLOOKUP(B18,Cards!$A$5:$M$25,10,FALSE)</f>
        <v/>
      </c>
      <c r="F18" s="4">
        <f>C18*E18</f>
        <v/>
      </c>
      <c r="G18" s="4">
        <f>IF(ISNUMBER(D18),C18*D18,0)</f>
        <v/>
      </c>
    </row>
    <row r="19">
      <c r="A19" s="4" t="inlineStr">
        <is>
          <t>Captain Loreley</t>
        </is>
      </c>
      <c r="B19" s="4" t="inlineStr">
        <is>
          <t>Whirlpool</t>
        </is>
      </c>
      <c r="C19" s="4" t="n">
        <v>4</v>
      </c>
      <c r="D19" s="4">
        <f>VLOOKUP(B19,Cards!$A$5:$M$25,3,FALSE)</f>
        <v/>
      </c>
      <c r="E19" s="4">
        <f>VLOOKUP(B19,Cards!$A$5:$M$25,10,FALSE)</f>
        <v/>
      </c>
      <c r="F19" s="4">
        <f>C19*E19</f>
        <v/>
      </c>
      <c r="G19" s="4">
        <f>IF(ISNUMBER(D19),C19*D19,0)</f>
        <v/>
      </c>
    </row>
    <row r="20">
      <c r="A20" s="4" t="inlineStr">
        <is>
          <t>Captain Loreley</t>
        </is>
      </c>
      <c r="B20" s="4" t="inlineStr">
        <is>
          <t>Hail Storm</t>
        </is>
      </c>
      <c r="C20" s="4" t="n">
        <v>3</v>
      </c>
      <c r="D20" s="4">
        <f>VLOOKUP(B20,Cards!$A$5:$M$25,3,FALSE)</f>
        <v/>
      </c>
      <c r="E20" s="4">
        <f>VLOOKUP(B20,Cards!$A$5:$M$25,10,FALSE)</f>
        <v/>
      </c>
      <c r="F20" s="4">
        <f>C20*E20</f>
        <v/>
      </c>
      <c r="G20" s="4">
        <f>IF(ISNUMBER(D20),C20*D20,0)</f>
        <v/>
      </c>
    </row>
    <row r="21">
      <c r="A21" s="4" t="inlineStr">
        <is>
          <t>Captain Loreley</t>
        </is>
      </c>
      <c r="B21" s="4" t="inlineStr">
        <is>
          <t>Monkey Grab</t>
        </is>
      </c>
      <c r="C21" s="4" t="n">
        <v>3</v>
      </c>
      <c r="D21" s="4">
        <f>VLOOKUP(B21,Cards!$A$5:$M$25,3,FALSE)</f>
        <v/>
      </c>
      <c r="E21" s="4">
        <f>VLOOKUP(B21,Cards!$A$5:$M$25,10,FALSE)</f>
        <v/>
      </c>
      <c r="F21" s="4">
        <f>C21*E21</f>
        <v/>
      </c>
      <c r="G21" s="4">
        <f>IF(ISNUMBER(D21),C21*D21,0)</f>
        <v/>
      </c>
    </row>
    <row r="22">
      <c r="A22" s="4" t="inlineStr">
        <is>
          <t>Captain Loreley</t>
        </is>
      </c>
      <c r="B22" s="4" t="inlineStr">
        <is>
          <t>Recon Parrot</t>
        </is>
      </c>
      <c r="C22" s="4" t="n">
        <v>2</v>
      </c>
      <c r="D22" s="4">
        <f>VLOOKUP(B22,Cards!$A$5:$M$25,3,FALSE)</f>
        <v/>
      </c>
      <c r="E22" s="4">
        <f>VLOOKUP(B22,Cards!$A$5:$M$25,10,FALSE)</f>
        <v/>
      </c>
      <c r="F22" s="4">
        <f>C22*E22</f>
        <v/>
      </c>
      <c r="G22" s="4">
        <f>IF(ISNUMBER(D22),C22*D22,0)</f>
        <v/>
      </c>
    </row>
    <row r="23">
      <c r="A23" s="4" t="inlineStr">
        <is>
          <t>Captain Loreley</t>
        </is>
      </c>
      <c r="B23" s="4" t="inlineStr">
        <is>
          <t>Chain Shot</t>
        </is>
      </c>
      <c r="C23" s="4" t="n">
        <v>2</v>
      </c>
      <c r="D23" s="4">
        <f>VLOOKUP(B23,Cards!$A$5:$M$25,3,FALSE)</f>
        <v/>
      </c>
      <c r="E23" s="4">
        <f>VLOOKUP(B23,Cards!$A$5:$M$25,10,FALSE)</f>
        <v/>
      </c>
      <c r="F23" s="4">
        <f>C23*E23</f>
        <v/>
      </c>
      <c r="G23" s="4">
        <f>IF(ISNUMBER(D23),C23*D23,0)</f>
        <v/>
      </c>
    </row>
    <row r="24">
      <c r="A24" s="4" t="inlineStr">
        <is>
          <t>Captain Loreley</t>
        </is>
      </c>
      <c r="B24" s="4" t="inlineStr">
        <is>
          <t>Whale Ram</t>
        </is>
      </c>
      <c r="C24" s="4" t="n">
        <v>2</v>
      </c>
      <c r="D24" s="4">
        <f>VLOOKUP(B24,Cards!$A$5:$M$25,3,FALSE)</f>
        <v/>
      </c>
      <c r="E24" s="4">
        <f>VLOOKUP(B24,Cards!$A$5:$M$25,10,FALSE)</f>
        <v/>
      </c>
      <c r="F24" s="4">
        <f>C24*E24</f>
        <v/>
      </c>
      <c r="G24" s="4">
        <f>IF(ISNUMBER(D24),C24*D24,0)</f>
        <v/>
      </c>
    </row>
    <row r="25">
      <c r="A25" s="4" t="inlineStr">
        <is>
          <t>Captain Loreley</t>
        </is>
      </c>
      <c r="B25" s="4" t="inlineStr">
        <is>
          <t>Cannonball</t>
        </is>
      </c>
      <c r="C25" s="4" t="n">
        <v>2</v>
      </c>
      <c r="D25" s="4">
        <f>VLOOKUP(B25,Cards!$A$5:$M$25,3,FALSE)</f>
        <v/>
      </c>
      <c r="E25" s="4">
        <f>VLOOKUP(B25,Cards!$A$5:$M$25,10,FALSE)</f>
        <v/>
      </c>
      <c r="F25" s="4">
        <f>C25*E25</f>
        <v/>
      </c>
      <c r="G25" s="4">
        <f>IF(ISNUMBER(D25),C25*D25,0)</f>
        <v/>
      </c>
    </row>
    <row r="26">
      <c r="A26" s="4" t="inlineStr">
        <is>
          <t>Captain Loreley</t>
        </is>
      </c>
      <c r="B26" s="4" t="inlineStr">
        <is>
          <t>High Spirits</t>
        </is>
      </c>
      <c r="C26" s="4" t="n">
        <v>2</v>
      </c>
      <c r="D26" s="4">
        <f>VLOOKUP(B26,Cards!$A$5:$M$25,3,FALSE)</f>
        <v/>
      </c>
      <c r="E26" s="4">
        <f>VLOOKUP(B26,Cards!$A$5:$M$25,10,FALSE)</f>
        <v/>
      </c>
      <c r="F26" s="4">
        <f>C26*E26</f>
        <v/>
      </c>
      <c r="G26" s="4">
        <f>IF(ISNUMBER(D26),C26*D26,0)</f>
        <v/>
      </c>
    </row>
    <row r="27">
      <c r="A27" s="4" t="inlineStr">
        <is>
          <t>Captain Loreley</t>
        </is>
      </c>
      <c r="B27" s="4" t="inlineStr">
        <is>
          <t>Rum</t>
        </is>
      </c>
      <c r="C27" s="4" t="n">
        <v>1</v>
      </c>
      <c r="D27" s="4">
        <f>VLOOKUP(B27,Cards!$A$5:$M$25,3,FALSE)</f>
        <v/>
      </c>
      <c r="E27" s="4">
        <f>VLOOKUP(B27,Cards!$A$5:$M$25,10,FALSE)</f>
        <v/>
      </c>
      <c r="F27" s="4">
        <f>C27*E27</f>
        <v/>
      </c>
      <c r="G27" s="4">
        <f>IF(ISNUMBER(D27),C27*D27,0)</f>
        <v/>
      </c>
    </row>
    <row r="28">
      <c r="A28" s="4" t="inlineStr">
        <is>
          <t>Captain Loreley</t>
        </is>
      </c>
      <c r="B28" s="4" t="inlineStr">
        <is>
          <t>Locker's Return</t>
        </is>
      </c>
      <c r="C28" s="4" t="n">
        <v>2</v>
      </c>
      <c r="D28" s="4">
        <f>VLOOKUP(B28,Cards!$A$5:$M$25,3,FALSE)</f>
        <v/>
      </c>
      <c r="E28" s="4">
        <f>VLOOKUP(B28,Cards!$A$5:$M$25,10,FALSE)</f>
        <v/>
      </c>
      <c r="F28" s="4">
        <f>C28*E28</f>
        <v/>
      </c>
      <c r="G28" s="4">
        <f>IF(ISNUMBER(D28),C28*D28,0)</f>
        <v/>
      </c>
    </row>
    <row r="29">
      <c r="A29" s="4" t="inlineStr">
        <is>
          <t>Captain Loreley</t>
        </is>
      </c>
      <c r="B29" s="4" t="inlineStr">
        <is>
          <t>Dead Man's Turn</t>
        </is>
      </c>
      <c r="C29" s="4" t="n">
        <v>2</v>
      </c>
      <c r="D29" s="4">
        <f>VLOOKUP(B29,Cards!$A$5:$M$25,3,FALSE)</f>
        <v/>
      </c>
      <c r="E29" s="4">
        <f>VLOOKUP(B29,Cards!$A$5:$M$25,10,FALSE)</f>
        <v/>
      </c>
      <c r="F29" s="4">
        <f>C29*E29</f>
        <v/>
      </c>
      <c r="G29" s="4">
        <f>IF(ISNUMBER(D29),C29*D29,0)</f>
        <v/>
      </c>
    </row>
    <row r="30">
      <c r="A30" s="4" t="inlineStr">
        <is>
          <t>Captain Loreley</t>
        </is>
      </c>
      <c r="B30" s="4" t="inlineStr">
        <is>
          <t>Counter Gale</t>
        </is>
      </c>
      <c r="C30" s="4" t="n">
        <v>2</v>
      </c>
      <c r="D30" s="4">
        <f>VLOOKUP(B30,Cards!$A$5:$M$25,3,FALSE)</f>
        <v/>
      </c>
      <c r="E30" s="4">
        <f>VLOOKUP(B30,Cards!$A$5:$M$25,10,FALSE)</f>
        <v/>
      </c>
      <c r="F30" s="4">
        <f>C30*E30</f>
        <v/>
      </c>
      <c r="G30" s="4">
        <f>IF(ISNUMBER(D30),C30*D30,0)</f>
        <v/>
      </c>
    </row>
    <row r="31">
      <c r="A31" s="4" t="inlineStr">
        <is>
          <t>Captain Loreley</t>
        </is>
      </c>
      <c r="B31" s="4" t="inlineStr">
        <is>
          <t>Lightning</t>
        </is>
      </c>
      <c r="C31" s="4" t="n">
        <v>1</v>
      </c>
      <c r="D31" s="4">
        <f>VLOOKUP(B31,Cards!$A$5:$M$25,3,FALSE)</f>
        <v/>
      </c>
      <c r="E31" s="4">
        <f>VLOOKUP(B31,Cards!$A$5:$M$25,10,FALSE)</f>
        <v/>
      </c>
      <c r="F31" s="4">
        <f>C31*E31</f>
        <v/>
      </c>
      <c r="G31" s="4">
        <f>IF(ISNUMBER(D31),C31*D31,0)</f>
        <v/>
      </c>
    </row>
    <row r="32">
      <c r="A32" s="4" t="inlineStr">
        <is>
          <t>Captain Loreley</t>
        </is>
      </c>
      <c r="B32" s="4" t="inlineStr">
        <is>
          <t>Essence Plunder</t>
        </is>
      </c>
      <c r="C32" s="4" t="n">
        <v>1</v>
      </c>
      <c r="D32" s="4">
        <f>VLOOKUP(B32,Cards!$A$5:$M$25,3,FALSE)</f>
        <v/>
      </c>
      <c r="E32" s="4">
        <f>VLOOKUP(B32,Cards!$A$5:$M$25,10,FALSE)</f>
        <v/>
      </c>
      <c r="F32" s="4">
        <f>C32*E32</f>
        <v/>
      </c>
      <c r="G32" s="4">
        <f>IF(ISNUMBER(D32),C32*D32,0)</f>
        <v/>
      </c>
    </row>
    <row r="33">
      <c r="A33" s="4" t="inlineStr">
        <is>
          <t>Captain Nurgle</t>
        </is>
      </c>
      <c r="B33" s="4" t="inlineStr">
        <is>
          <t>Essence Plunder</t>
        </is>
      </c>
      <c r="C33" s="4" t="n">
        <v>5</v>
      </c>
      <c r="D33" s="4">
        <f>VLOOKUP(B33,Cards!$A$5:$M$25,3,FALSE)</f>
        <v/>
      </c>
      <c r="E33" s="4">
        <f>VLOOKUP(B33,Cards!$A$5:$M$25,10,FALSE)</f>
        <v/>
      </c>
      <c r="F33" s="4">
        <f>C33*E33</f>
        <v/>
      </c>
      <c r="G33" s="4">
        <f>IF(ISNUMBER(D33),C33*D33,0)</f>
        <v/>
      </c>
    </row>
    <row r="34">
      <c r="A34" s="4" t="inlineStr">
        <is>
          <t>Captain Nurgle</t>
        </is>
      </c>
      <c r="B34" s="4" t="inlineStr">
        <is>
          <t>High Spirits</t>
        </is>
      </c>
      <c r="C34" s="4" t="n">
        <v>3</v>
      </c>
      <c r="D34" s="4">
        <f>VLOOKUP(B34,Cards!$A$5:$M$25,3,FALSE)</f>
        <v/>
      </c>
      <c r="E34" s="4">
        <f>VLOOKUP(B34,Cards!$A$5:$M$25,10,FALSE)</f>
        <v/>
      </c>
      <c r="F34" s="4">
        <f>C34*E34</f>
        <v/>
      </c>
      <c r="G34" s="4">
        <f>IF(ISNUMBER(D34),C34*D34,0)</f>
        <v/>
      </c>
    </row>
    <row r="35">
      <c r="A35" s="4" t="inlineStr">
        <is>
          <t>Captain Nurgle</t>
        </is>
      </c>
      <c r="B35" s="4" t="inlineStr">
        <is>
          <t>The Kraken</t>
        </is>
      </c>
      <c r="C35" s="4" t="n">
        <v>4</v>
      </c>
      <c r="D35" s="4">
        <f>VLOOKUP(B35,Cards!$A$5:$M$25,3,FALSE)</f>
        <v/>
      </c>
      <c r="E35" s="4">
        <f>VLOOKUP(B35,Cards!$A$5:$M$25,10,FALSE)</f>
        <v/>
      </c>
      <c r="F35" s="4">
        <f>C35*E35</f>
        <v/>
      </c>
      <c r="G35" s="4">
        <f>IF(ISNUMBER(D35),C35*D35,0)</f>
        <v/>
      </c>
    </row>
    <row r="36">
      <c r="A36" s="4" t="inlineStr">
        <is>
          <t>Captain Nurgle</t>
        </is>
      </c>
      <c r="B36" s="4" t="inlineStr">
        <is>
          <t>Lightning</t>
        </is>
      </c>
      <c r="C36" s="4" t="n">
        <v>3</v>
      </c>
      <c r="D36" s="4">
        <f>VLOOKUP(B36,Cards!$A$5:$M$25,3,FALSE)</f>
        <v/>
      </c>
      <c r="E36" s="4">
        <f>VLOOKUP(B36,Cards!$A$5:$M$25,10,FALSE)</f>
        <v/>
      </c>
      <c r="F36" s="4">
        <f>C36*E36</f>
        <v/>
      </c>
      <c r="G36" s="4">
        <f>IF(ISNUMBER(D36),C36*D36,0)</f>
        <v/>
      </c>
    </row>
    <row r="37">
      <c r="A37" s="4" t="inlineStr">
        <is>
          <t>Captain Nurgle</t>
        </is>
      </c>
      <c r="B37" s="4" t="inlineStr">
        <is>
          <t>Whale Ram</t>
        </is>
      </c>
      <c r="C37" s="4" t="n">
        <v>3</v>
      </c>
      <c r="D37" s="4">
        <f>VLOOKUP(B37,Cards!$A$5:$M$25,3,FALSE)</f>
        <v/>
      </c>
      <c r="E37" s="4">
        <f>VLOOKUP(B37,Cards!$A$5:$M$25,10,FALSE)</f>
        <v/>
      </c>
      <c r="F37" s="4">
        <f>C37*E37</f>
        <v/>
      </c>
      <c r="G37" s="4">
        <f>IF(ISNUMBER(D37),C37*D37,0)</f>
        <v/>
      </c>
    </row>
    <row r="38">
      <c r="A38" s="4" t="inlineStr">
        <is>
          <t>Captain Nurgle</t>
        </is>
      </c>
      <c r="B38" s="4" t="inlineStr">
        <is>
          <t>Gunpowder Barrel</t>
        </is>
      </c>
      <c r="C38" s="4" t="n">
        <v>2</v>
      </c>
      <c r="D38" s="4">
        <f>VLOOKUP(B38,Cards!$A$5:$M$25,3,FALSE)</f>
        <v/>
      </c>
      <c r="E38" s="4">
        <f>VLOOKUP(B38,Cards!$A$5:$M$25,10,FALSE)</f>
        <v/>
      </c>
      <c r="F38" s="4">
        <f>C38*E38</f>
        <v/>
      </c>
      <c r="G38" s="4">
        <f>IF(ISNUMBER(D38),C38*D38,0)</f>
        <v/>
      </c>
    </row>
    <row r="39">
      <c r="A39" s="4" t="inlineStr">
        <is>
          <t>Captain Nurgle</t>
        </is>
      </c>
      <c r="B39" s="4" t="inlineStr">
        <is>
          <t>Torch</t>
        </is>
      </c>
      <c r="C39" s="4" t="n">
        <v>2</v>
      </c>
      <c r="D39" s="4">
        <f>VLOOKUP(B39,Cards!$A$5:$M$25,3,FALSE)</f>
        <v/>
      </c>
      <c r="E39" s="4">
        <f>VLOOKUP(B39,Cards!$A$5:$M$25,10,FALSE)</f>
        <v/>
      </c>
      <c r="F39" s="4">
        <f>C39*E39</f>
        <v/>
      </c>
      <c r="G39" s="4">
        <f>IF(ISNUMBER(D39),C39*D39,0)</f>
        <v/>
      </c>
    </row>
    <row r="40">
      <c r="A40" s="4" t="inlineStr">
        <is>
          <t>Captain Nurgle</t>
        </is>
      </c>
      <c r="B40" s="4" t="inlineStr">
        <is>
          <t>Cannonball</t>
        </is>
      </c>
      <c r="C40" s="4" t="n">
        <v>2</v>
      </c>
      <c r="D40" s="4">
        <f>VLOOKUP(B40,Cards!$A$5:$M$25,3,FALSE)</f>
        <v/>
      </c>
      <c r="E40" s="4">
        <f>VLOOKUP(B40,Cards!$A$5:$M$25,10,FALSE)</f>
        <v/>
      </c>
      <c r="F40" s="4">
        <f>C40*E40</f>
        <v/>
      </c>
      <c r="G40" s="4">
        <f>IF(ISNUMBER(D40),C40*D40,0)</f>
        <v/>
      </c>
    </row>
    <row r="41">
      <c r="A41" s="4" t="inlineStr">
        <is>
          <t>Captain Nurgle</t>
        </is>
      </c>
      <c r="B41" s="4" t="inlineStr">
        <is>
          <t>Rum</t>
        </is>
      </c>
      <c r="C41" s="4" t="n">
        <v>2</v>
      </c>
      <c r="D41" s="4">
        <f>VLOOKUP(B41,Cards!$A$5:$M$25,3,FALSE)</f>
        <v/>
      </c>
      <c r="E41" s="4">
        <f>VLOOKUP(B41,Cards!$A$5:$M$25,10,FALSE)</f>
        <v/>
      </c>
      <c r="F41" s="4">
        <f>C41*E41</f>
        <v/>
      </c>
      <c r="G41" s="4">
        <f>IF(ISNUMBER(D41),C41*D41,0)</f>
        <v/>
      </c>
    </row>
    <row r="42">
      <c r="A42" s="4" t="inlineStr">
        <is>
          <t>Captain Nurgle</t>
        </is>
      </c>
      <c r="B42" s="4" t="inlineStr">
        <is>
          <t>Counter Gale</t>
        </is>
      </c>
      <c r="C42" s="4" t="n">
        <v>2</v>
      </c>
      <c r="D42" s="4">
        <f>VLOOKUP(B42,Cards!$A$5:$M$25,3,FALSE)</f>
        <v/>
      </c>
      <c r="E42" s="4">
        <f>VLOOKUP(B42,Cards!$A$5:$M$25,10,FALSE)</f>
        <v/>
      </c>
      <c r="F42" s="4">
        <f>C42*E42</f>
        <v/>
      </c>
      <c r="G42" s="4">
        <f>IF(ISNUMBER(D42),C42*D42,0)</f>
        <v/>
      </c>
    </row>
    <row r="43">
      <c r="A43" s="4" t="inlineStr">
        <is>
          <t>Captain Nurgle</t>
        </is>
      </c>
      <c r="B43" s="4" t="inlineStr">
        <is>
          <t>Dead Man's Turn</t>
        </is>
      </c>
      <c r="C43" s="4" t="n">
        <v>1</v>
      </c>
      <c r="D43" s="4">
        <f>VLOOKUP(B43,Cards!$A$5:$M$25,3,FALSE)</f>
        <v/>
      </c>
      <c r="E43" s="4">
        <f>VLOOKUP(B43,Cards!$A$5:$M$25,10,FALSE)</f>
        <v/>
      </c>
      <c r="F43" s="4">
        <f>C43*E43</f>
        <v/>
      </c>
      <c r="G43" s="4">
        <f>IF(ISNUMBER(D43),C43*D43,0)</f>
        <v/>
      </c>
    </row>
    <row r="44">
      <c r="A44" s="4" t="inlineStr">
        <is>
          <t>Captain Nurgle</t>
        </is>
      </c>
      <c r="B44" s="4" t="inlineStr">
        <is>
          <t>Monkey Grab</t>
        </is>
      </c>
      <c r="C44" s="4" t="n">
        <v>1</v>
      </c>
      <c r="D44" s="4">
        <f>VLOOKUP(B44,Cards!$A$5:$M$25,3,FALSE)</f>
        <v/>
      </c>
      <c r="E44" s="4">
        <f>VLOOKUP(B44,Cards!$A$5:$M$25,10,FALSE)</f>
        <v/>
      </c>
      <c r="F44" s="4">
        <f>C44*E44</f>
        <v/>
      </c>
      <c r="G44" s="4">
        <f>IF(ISNUMBER(D44),C44*D44,0)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showGridLines="0" workbookViewId="0">
      <selection activeCell="A1" sqref="A1"/>
    </sheetView>
  </sheetViews>
  <sheetFormatPr baseColWidth="8" defaultRowHeight="15"/>
  <cols>
    <col width="7" customWidth="1" min="1" max="1"/>
    <col width="17" customWidth="1" min="2" max="2"/>
    <col width="6" customWidth="1" min="3" max="3"/>
    <col width="9" customWidth="1" min="4" max="4"/>
    <col width="9" customWidth="1" min="5" max="5"/>
    <col width="13" customWidth="1" min="6" max="6"/>
    <col width="10" customWidth="1" min="7" max="7"/>
    <col width="11" customWidth="1" min="8" max="8"/>
    <col width="11" customWidth="1" min="9" max="9"/>
    <col width="11" customWidth="1" min="10" max="10"/>
    <col width="11" customWidth="1" min="11" max="11"/>
    <col width="11" customWidth="1" min="12" max="12"/>
    <col width="9" customWidth="1" min="13" max="13"/>
    <col width="10" customWidth="1" min="14" max="14"/>
    <col width="28" customWidth="1" min="15" max="15"/>
  </cols>
  <sheetData>
    <row r="1">
      <c r="A1" s="1" t="inlineStr">
        <is>
          <t>Captains and Difficulty Curve</t>
        </is>
      </c>
    </row>
    <row r="2">
      <c r="A2" s="2" t="inlineStr">
        <is>
          <t>Reaction chance = MIN(cap, weight / 2), the formula used by CaptainSO.ChooseReaction.</t>
        </is>
      </c>
    </row>
    <row r="4" ht="42" customHeight="1">
      <c r="A4" s="3" t="inlineStr">
        <is>
          <t>Level</t>
        </is>
      </c>
      <c r="B4" s="3" t="inlineStr">
        <is>
          <t>Captain</t>
        </is>
      </c>
      <c r="C4" s="3" t="inlineStr">
        <is>
          <t>HP</t>
        </is>
      </c>
      <c r="D4" s="3" t="inlineStr">
        <is>
          <t>Max Mana</t>
        </is>
      </c>
      <c r="E4" s="3" t="inlineStr">
        <is>
          <t>Deck Size</t>
        </is>
      </c>
      <c r="F4" s="3" t="inlineStr">
        <is>
          <t>Deck Damage (no combo)</t>
        </is>
      </c>
      <c r="G4" s="3" t="inlineStr">
        <is>
          <t>Avg Mana per Card</t>
        </is>
      </c>
      <c r="H4" s="3" t="inlineStr">
        <is>
          <t>Dead Man's Turn Weight</t>
        </is>
      </c>
      <c r="I4" s="3" t="inlineStr">
        <is>
          <t>Dead Man's Turn Chance</t>
        </is>
      </c>
      <c r="J4" s="3" t="inlineStr">
        <is>
          <t>Counter Gale Weight</t>
        </is>
      </c>
      <c r="K4" s="3" t="inlineStr">
        <is>
          <t>Counter Gale Chance</t>
        </is>
      </c>
      <c r="L4" s="3" t="inlineStr">
        <is>
          <t>Play Around Reactions</t>
        </is>
      </c>
      <c r="M4" s="3" t="inlineStr">
        <is>
          <t>Kraken Weight</t>
        </is>
      </c>
      <c r="N4" s="3" t="inlineStr">
        <is>
          <t>Coins (High HP)</t>
        </is>
      </c>
      <c r="O4" s="3" t="inlineStr">
        <is>
          <t>Reward Cards</t>
        </is>
      </c>
    </row>
    <row r="5">
      <c r="A5" s="4" t="n">
        <v>1</v>
      </c>
      <c r="B5" s="4" t="inlineStr">
        <is>
          <t>Captain Rumboat</t>
        </is>
      </c>
      <c r="C5" s="4" t="n">
        <v>40</v>
      </c>
      <c r="D5" s="4" t="n">
        <v>4</v>
      </c>
      <c r="E5" s="4">
        <f>SUMIF('Captain Decks'!$A$5:$A$44,B5,'Captain Decks'!$C$5:$C$44)</f>
        <v/>
      </c>
      <c r="F5" s="4">
        <f>SUMIF('Captain Decks'!$A$5:$A$44,B5,'Captain Decks'!$F$5:$F$44)</f>
        <v/>
      </c>
      <c r="G5" s="7">
        <f>SUMIF('Captain Decks'!$A$5:$A$44,B5,'Captain Decks'!$G$5:$G$44)/E5</f>
        <v/>
      </c>
      <c r="H5" s="4" t="n">
        <v>0.2</v>
      </c>
      <c r="I5" s="6">
        <f>MIN(Assumptions!$B$12,H5/2)</f>
        <v/>
      </c>
      <c r="J5" s="4" t="n">
        <v>0</v>
      </c>
      <c r="K5" s="6">
        <f>MIN(Assumptions!$B$12,J5/2)</f>
        <v/>
      </c>
      <c r="L5" s="4" t="n">
        <v>0</v>
      </c>
      <c r="M5" s="4" t="n">
        <v>0</v>
      </c>
      <c r="N5" s="4" t="n">
        <v>30</v>
      </c>
      <c r="O5" s="4" t="inlineStr">
        <is>
          <t>Lightning</t>
        </is>
      </c>
    </row>
    <row r="6">
      <c r="A6" s="4" t="n">
        <v>2</v>
      </c>
      <c r="B6" s="4" t="inlineStr">
        <is>
          <t>Captain Loreley</t>
        </is>
      </c>
      <c r="C6" s="4" t="n">
        <v>50</v>
      </c>
      <c r="D6" s="4" t="n">
        <v>4</v>
      </c>
      <c r="E6" s="4">
        <f>SUMIF('Captain Decks'!$A$5:$A$44,B6,'Captain Decks'!$C$5:$C$44)</f>
        <v/>
      </c>
      <c r="F6" s="4">
        <f>SUMIF('Captain Decks'!$A$5:$A$44,B6,'Captain Decks'!$F$5:$F$44)</f>
        <v/>
      </c>
      <c r="G6" s="7">
        <f>SUMIF('Captain Decks'!$A$5:$A$44,B6,'Captain Decks'!$G$5:$G$44)/E6</f>
        <v/>
      </c>
      <c r="H6" s="4" t="n">
        <v>1.8</v>
      </c>
      <c r="I6" s="6">
        <f>MIN(Assumptions!$B$12,H6/2)</f>
        <v/>
      </c>
      <c r="J6" s="4" t="n">
        <v>1.2</v>
      </c>
      <c r="K6" s="6">
        <f>MIN(Assumptions!$B$12,J6/2)</f>
        <v/>
      </c>
      <c r="L6" s="4" t="n">
        <v>1.8</v>
      </c>
      <c r="M6" s="4" t="n">
        <v>0</v>
      </c>
      <c r="N6" s="4" t="n">
        <v>45</v>
      </c>
      <c r="O6" s="4" t="inlineStr">
        <is>
          <t>Whirlpool, Siren Song</t>
        </is>
      </c>
    </row>
    <row r="7">
      <c r="A7" s="4" t="n">
        <v>3</v>
      </c>
      <c r="B7" s="4" t="inlineStr">
        <is>
          <t>Captain Nurgle</t>
        </is>
      </c>
      <c r="C7" s="4" t="n">
        <v>60</v>
      </c>
      <c r="D7" s="4" t="n">
        <v>5</v>
      </c>
      <c r="E7" s="4">
        <f>SUMIF('Captain Decks'!$A$5:$A$44,B7,'Captain Decks'!$C$5:$C$44)</f>
        <v/>
      </c>
      <c r="F7" s="4">
        <f>SUMIF('Captain Decks'!$A$5:$A$44,B7,'Captain Decks'!$F$5:$F$44)</f>
        <v/>
      </c>
      <c r="G7" s="7">
        <f>SUMIF('Captain Decks'!$A$5:$A$44,B7,'Captain Decks'!$G$5:$G$44)/E7</f>
        <v/>
      </c>
      <c r="H7" s="4" t="n">
        <v>0.3</v>
      </c>
      <c r="I7" s="6">
        <f>MIN(Assumptions!$B$12,H7/2)</f>
        <v/>
      </c>
      <c r="J7" s="4" t="n">
        <v>1.3</v>
      </c>
      <c r="K7" s="6">
        <f>MIN(Assumptions!$B$12,J7/2)</f>
        <v/>
      </c>
      <c r="L7" s="4" t="n">
        <v>0.5</v>
      </c>
      <c r="M7" s="4" t="n">
        <v>3</v>
      </c>
      <c r="N7" s="4" t="n">
        <v>60</v>
      </c>
      <c r="O7" s="4" t="inlineStr">
        <is>
          <t>The Kraken, Essence Plunder</t>
        </is>
      </c>
    </row>
    <row r="10">
      <c r="A10" s="9" t="inlineStr">
        <is>
          <t>Kraken Weight is shown as 0 for captains whose deck has no Kraken, since the weight never applies. Deck Damage leaves out Gunpowder combo damage, which depends on how many stacks land.</t>
        </is>
      </c>
    </row>
    <row r="11"/>
  </sheetData>
  <mergeCells count="1">
    <mergeCell ref="A10:O1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36"/>
  <sheetViews>
    <sheetView showGridLines="0" workbookViewId="0">
      <selection activeCell="A1" sqref="A1"/>
    </sheetView>
  </sheetViews>
  <sheetFormatPr baseColWidth="8" defaultRowHeight="15"/>
  <cols>
    <col width="52" customWidth="1" min="1" max="1"/>
    <col width="9" customWidth="1" min="2" max="2"/>
    <col width="10" customWidth="1" min="3" max="3"/>
    <col width="7" customWidth="1" min="4" max="4"/>
    <col width="9" customWidth="1" min="5" max="5"/>
    <col width="13" customWidth="1" min="6" max="6"/>
    <col width="13" customWidth="1" min="7" max="7"/>
  </cols>
  <sheetData>
    <row r="1">
      <c r="A1" s="1" t="inlineStr">
        <is>
          <t>Starter Deck</t>
        </is>
      </c>
    </row>
    <row r="2">
      <c r="A2" s="2" t="inlineStr">
        <is>
          <t>None of the five reward cards are included.</t>
        </is>
      </c>
    </row>
    <row r="4">
      <c r="A4" s="3" t="inlineStr">
        <is>
          <t>Card</t>
        </is>
      </c>
      <c r="B4" s="3" t="inlineStr">
        <is>
          <t>Count</t>
        </is>
      </c>
      <c r="C4" s="3" t="inlineStr">
        <is>
          <t>Type</t>
        </is>
      </c>
      <c r="D4" s="3" t="inlineStr">
        <is>
          <t>Mana</t>
        </is>
      </c>
      <c r="E4" s="3" t="inlineStr">
        <is>
          <t>Storage</t>
        </is>
      </c>
      <c r="F4" s="3" t="inlineStr">
        <is>
          <t>Storage Used</t>
        </is>
      </c>
      <c r="G4" s="3" t="inlineStr">
        <is>
          <t>Total Damage</t>
        </is>
      </c>
    </row>
    <row r="5">
      <c r="A5" s="4" t="inlineStr">
        <is>
          <t>Pistol</t>
        </is>
      </c>
      <c r="B5" s="4" t="n">
        <v>2</v>
      </c>
      <c r="C5" s="4">
        <f>VLOOKUP(A5,Cards!$A$5:$M$25,2,FALSE)</f>
        <v/>
      </c>
      <c r="D5" s="4">
        <f>VLOOKUP(A5,Cards!$A$5:$M$25,3,FALSE)</f>
        <v/>
      </c>
      <c r="E5" s="4">
        <f>VLOOKUP(A5,Cards!$A$5:$M$25,4,FALSE)</f>
        <v/>
      </c>
      <c r="F5" s="4">
        <f>B5*E5</f>
        <v/>
      </c>
      <c r="G5" s="4">
        <f>B5*VLOOKUP(A5,Cards!$A$5:$M$25,10,FALSE)</f>
        <v/>
      </c>
    </row>
    <row r="6">
      <c r="A6" s="4" t="inlineStr">
        <is>
          <t>Cannonball</t>
        </is>
      </c>
      <c r="B6" s="4" t="n">
        <v>3</v>
      </c>
      <c r="C6" s="4">
        <f>VLOOKUP(A6,Cards!$A$5:$M$25,2,FALSE)</f>
        <v/>
      </c>
      <c r="D6" s="4">
        <f>VLOOKUP(A6,Cards!$A$5:$M$25,3,FALSE)</f>
        <v/>
      </c>
      <c r="E6" s="4">
        <f>VLOOKUP(A6,Cards!$A$5:$M$25,4,FALSE)</f>
        <v/>
      </c>
      <c r="F6" s="4">
        <f>B6*E6</f>
        <v/>
      </c>
      <c r="G6" s="4">
        <f>B6*VLOOKUP(A6,Cards!$A$5:$M$25,10,FALSE)</f>
        <v/>
      </c>
    </row>
    <row r="7">
      <c r="A7" s="4" t="inlineStr">
        <is>
          <t>Chain Shot</t>
        </is>
      </c>
      <c r="B7" s="4" t="n">
        <v>2</v>
      </c>
      <c r="C7" s="4">
        <f>VLOOKUP(A7,Cards!$A$5:$M$25,2,FALSE)</f>
        <v/>
      </c>
      <c r="D7" s="4">
        <f>VLOOKUP(A7,Cards!$A$5:$M$25,3,FALSE)</f>
        <v/>
      </c>
      <c r="E7" s="4">
        <f>VLOOKUP(A7,Cards!$A$5:$M$25,4,FALSE)</f>
        <v/>
      </c>
      <c r="F7" s="4">
        <f>B7*E7</f>
        <v/>
      </c>
      <c r="G7" s="4">
        <f>B7*VLOOKUP(A7,Cards!$A$5:$M$25,10,FALSE)</f>
        <v/>
      </c>
    </row>
    <row r="8">
      <c r="A8" s="4" t="inlineStr">
        <is>
          <t>Tidal Wave</t>
        </is>
      </c>
      <c r="B8" s="4" t="n">
        <v>1</v>
      </c>
      <c r="C8" s="4">
        <f>VLOOKUP(A8,Cards!$A$5:$M$25,2,FALSE)</f>
        <v/>
      </c>
      <c r="D8" s="4">
        <f>VLOOKUP(A8,Cards!$A$5:$M$25,3,FALSE)</f>
        <v/>
      </c>
      <c r="E8" s="4">
        <f>VLOOKUP(A8,Cards!$A$5:$M$25,4,FALSE)</f>
        <v/>
      </c>
      <c r="F8" s="4">
        <f>B8*E8</f>
        <v/>
      </c>
      <c r="G8" s="4">
        <f>B8*VLOOKUP(A8,Cards!$A$5:$M$25,10,FALSE)</f>
        <v/>
      </c>
    </row>
    <row r="9">
      <c r="A9" s="4" t="inlineStr">
        <is>
          <t>Whale Ram</t>
        </is>
      </c>
      <c r="B9" s="4" t="n">
        <v>3</v>
      </c>
      <c r="C9" s="4">
        <f>VLOOKUP(A9,Cards!$A$5:$M$25,2,FALSE)</f>
        <v/>
      </c>
      <c r="D9" s="4">
        <f>VLOOKUP(A9,Cards!$A$5:$M$25,3,FALSE)</f>
        <v/>
      </c>
      <c r="E9" s="4">
        <f>VLOOKUP(A9,Cards!$A$5:$M$25,4,FALSE)</f>
        <v/>
      </c>
      <c r="F9" s="4">
        <f>B9*E9</f>
        <v/>
      </c>
      <c r="G9" s="4">
        <f>B9*VLOOKUP(A9,Cards!$A$5:$M$25,10,FALSE)</f>
        <v/>
      </c>
    </row>
    <row r="10">
      <c r="A10" s="4" t="inlineStr">
        <is>
          <t>Gunpowder Barrel</t>
        </is>
      </c>
      <c r="B10" s="4" t="n">
        <v>3</v>
      </c>
      <c r="C10" s="4">
        <f>VLOOKUP(A10,Cards!$A$5:$M$25,2,FALSE)</f>
        <v/>
      </c>
      <c r="D10" s="4">
        <f>VLOOKUP(A10,Cards!$A$5:$M$25,3,FALSE)</f>
        <v/>
      </c>
      <c r="E10" s="4">
        <f>VLOOKUP(A10,Cards!$A$5:$M$25,4,FALSE)</f>
        <v/>
      </c>
      <c r="F10" s="4">
        <f>B10*E10</f>
        <v/>
      </c>
      <c r="G10" s="4">
        <f>B10*VLOOKUP(A10,Cards!$A$5:$M$25,10,FALSE)</f>
        <v/>
      </c>
    </row>
    <row r="11">
      <c r="A11" s="4" t="inlineStr">
        <is>
          <t>Torch</t>
        </is>
      </c>
      <c r="B11" s="4" t="n">
        <v>2</v>
      </c>
      <c r="C11" s="4">
        <f>VLOOKUP(A11,Cards!$A$5:$M$25,2,FALSE)</f>
        <v/>
      </c>
      <c r="D11" s="4">
        <f>VLOOKUP(A11,Cards!$A$5:$M$25,3,FALSE)</f>
        <v/>
      </c>
      <c r="E11" s="4">
        <f>VLOOKUP(A11,Cards!$A$5:$M$25,4,FALSE)</f>
        <v/>
      </c>
      <c r="F11" s="4">
        <f>B11*E11</f>
        <v/>
      </c>
      <c r="G11" s="4">
        <f>B11*VLOOKUP(A11,Cards!$A$5:$M$25,10,FALSE)</f>
        <v/>
      </c>
    </row>
    <row r="12">
      <c r="A12" s="4" t="inlineStr">
        <is>
          <t>Hail Storm</t>
        </is>
      </c>
      <c r="B12" s="4" t="n">
        <v>2</v>
      </c>
      <c r="C12" s="4">
        <f>VLOOKUP(A12,Cards!$A$5:$M$25,2,FALSE)</f>
        <v/>
      </c>
      <c r="D12" s="4">
        <f>VLOOKUP(A12,Cards!$A$5:$M$25,3,FALSE)</f>
        <v/>
      </c>
      <c r="E12" s="4">
        <f>VLOOKUP(A12,Cards!$A$5:$M$25,4,FALSE)</f>
        <v/>
      </c>
      <c r="F12" s="4">
        <f>B12*E12</f>
        <v/>
      </c>
      <c r="G12" s="4">
        <f>B12*VLOOKUP(A12,Cards!$A$5:$M$25,10,FALSE)</f>
        <v/>
      </c>
    </row>
    <row r="13">
      <c r="A13" s="4" t="inlineStr">
        <is>
          <t>Rum</t>
        </is>
      </c>
      <c r="B13" s="4" t="n">
        <v>2</v>
      </c>
      <c r="C13" s="4">
        <f>VLOOKUP(A13,Cards!$A$5:$M$25,2,FALSE)</f>
        <v/>
      </c>
      <c r="D13" s="4">
        <f>VLOOKUP(A13,Cards!$A$5:$M$25,3,FALSE)</f>
        <v/>
      </c>
      <c r="E13" s="4">
        <f>VLOOKUP(A13,Cards!$A$5:$M$25,4,FALSE)</f>
        <v/>
      </c>
      <c r="F13" s="4">
        <f>B13*E13</f>
        <v/>
      </c>
      <c r="G13" s="4">
        <f>B13*VLOOKUP(A13,Cards!$A$5:$M$25,10,FALSE)</f>
        <v/>
      </c>
    </row>
    <row r="14">
      <c r="A14" s="4" t="inlineStr">
        <is>
          <t>High Spirits</t>
        </is>
      </c>
      <c r="B14" s="4" t="n">
        <v>2</v>
      </c>
      <c r="C14" s="4">
        <f>VLOOKUP(A14,Cards!$A$5:$M$25,2,FALSE)</f>
        <v/>
      </c>
      <c r="D14" s="4">
        <f>VLOOKUP(A14,Cards!$A$5:$M$25,3,FALSE)</f>
        <v/>
      </c>
      <c r="E14" s="4">
        <f>VLOOKUP(A14,Cards!$A$5:$M$25,4,FALSE)</f>
        <v/>
      </c>
      <c r="F14" s="4">
        <f>B14*E14</f>
        <v/>
      </c>
      <c r="G14" s="4">
        <f>B14*VLOOKUP(A14,Cards!$A$5:$M$25,10,FALSE)</f>
        <v/>
      </c>
    </row>
    <row r="15">
      <c r="A15" s="4" t="inlineStr">
        <is>
          <t>Monkey Grab</t>
        </is>
      </c>
      <c r="B15" s="4" t="n">
        <v>1</v>
      </c>
      <c r="C15" s="4">
        <f>VLOOKUP(A15,Cards!$A$5:$M$25,2,FALSE)</f>
        <v/>
      </c>
      <c r="D15" s="4">
        <f>VLOOKUP(A15,Cards!$A$5:$M$25,3,FALSE)</f>
        <v/>
      </c>
      <c r="E15" s="4">
        <f>VLOOKUP(A15,Cards!$A$5:$M$25,4,FALSE)</f>
        <v/>
      </c>
      <c r="F15" s="4">
        <f>B15*E15</f>
        <v/>
      </c>
      <c r="G15" s="4">
        <f>B15*VLOOKUP(A15,Cards!$A$5:$M$25,10,FALSE)</f>
        <v/>
      </c>
    </row>
    <row r="16">
      <c r="A16" s="4" t="inlineStr">
        <is>
          <t>Treasure Chest</t>
        </is>
      </c>
      <c r="B16" s="4" t="n">
        <v>1</v>
      </c>
      <c r="C16" s="4">
        <f>VLOOKUP(A16,Cards!$A$5:$M$25,2,FALSE)</f>
        <v/>
      </c>
      <c r="D16" s="4">
        <f>VLOOKUP(A16,Cards!$A$5:$M$25,3,FALSE)</f>
        <v/>
      </c>
      <c r="E16" s="4">
        <f>VLOOKUP(A16,Cards!$A$5:$M$25,4,FALSE)</f>
        <v/>
      </c>
      <c r="F16" s="4">
        <f>B16*E16</f>
        <v/>
      </c>
      <c r="G16" s="4">
        <f>B16*VLOOKUP(A16,Cards!$A$5:$M$25,10,FALSE)</f>
        <v/>
      </c>
    </row>
    <row r="17">
      <c r="A17" s="4" t="inlineStr">
        <is>
          <t>Locker's Return</t>
        </is>
      </c>
      <c r="B17" s="4" t="n">
        <v>1</v>
      </c>
      <c r="C17" s="4">
        <f>VLOOKUP(A17,Cards!$A$5:$M$25,2,FALSE)</f>
        <v/>
      </c>
      <c r="D17" s="4">
        <f>VLOOKUP(A17,Cards!$A$5:$M$25,3,FALSE)</f>
        <v/>
      </c>
      <c r="E17" s="4">
        <f>VLOOKUP(A17,Cards!$A$5:$M$25,4,FALSE)</f>
        <v/>
      </c>
      <c r="F17" s="4">
        <f>B17*E17</f>
        <v/>
      </c>
      <c r="G17" s="4">
        <f>B17*VLOOKUP(A17,Cards!$A$5:$M$25,10,FALSE)</f>
        <v/>
      </c>
    </row>
    <row r="18">
      <c r="A18" s="4" t="inlineStr">
        <is>
          <t>Dead Man's Turn</t>
        </is>
      </c>
      <c r="B18" s="4" t="n">
        <v>1</v>
      </c>
      <c r="C18" s="4">
        <f>VLOOKUP(A18,Cards!$A$5:$M$25,2,FALSE)</f>
        <v/>
      </c>
      <c r="D18" s="4">
        <f>VLOOKUP(A18,Cards!$A$5:$M$25,3,FALSE)</f>
        <v/>
      </c>
      <c r="E18" s="4">
        <f>VLOOKUP(A18,Cards!$A$5:$M$25,4,FALSE)</f>
        <v/>
      </c>
      <c r="F18" s="4">
        <f>B18*E18</f>
        <v/>
      </c>
      <c r="G18" s="4">
        <f>B18*VLOOKUP(A18,Cards!$A$5:$M$25,10,FALSE)</f>
        <v/>
      </c>
    </row>
    <row r="19">
      <c r="A19" s="4" t="inlineStr">
        <is>
          <t>Counter Gale</t>
        </is>
      </c>
      <c r="B19" s="4" t="n">
        <v>1</v>
      </c>
      <c r="C19" s="4">
        <f>VLOOKUP(A19,Cards!$A$5:$M$25,2,FALSE)</f>
        <v/>
      </c>
      <c r="D19" s="4">
        <f>VLOOKUP(A19,Cards!$A$5:$M$25,3,FALSE)</f>
        <v/>
      </c>
      <c r="E19" s="4">
        <f>VLOOKUP(A19,Cards!$A$5:$M$25,4,FALSE)</f>
        <v/>
      </c>
      <c r="F19" s="4">
        <f>B19*E19</f>
        <v/>
      </c>
      <c r="G19" s="4">
        <f>B19*VLOOKUP(A19,Cards!$A$5:$M$25,10,FALSE)</f>
        <v/>
      </c>
    </row>
    <row r="20">
      <c r="A20" s="8" t="inlineStr">
        <is>
          <t>Total</t>
        </is>
      </c>
      <c r="B20" s="8">
        <f>SUM(B5:B19)</f>
        <v/>
      </c>
      <c r="C20" s="8" t="n"/>
      <c r="D20" s="8" t="n"/>
      <c r="E20" s="8" t="n"/>
      <c r="F20" s="8">
        <f>SUM(F5:F19)</f>
        <v/>
      </c>
      <c r="G20" s="8">
        <f>SUM(G5:G19)</f>
        <v/>
      </c>
    </row>
    <row r="22">
      <c r="A22" s="3" t="inlineStr">
        <is>
          <t>Summary</t>
        </is>
      </c>
      <c r="B22" s="3" t="inlineStr">
        <is>
          <t>Value</t>
        </is>
      </c>
    </row>
    <row r="23">
      <c r="A23" s="4" t="inlineStr">
        <is>
          <t>Storage used</t>
        </is>
      </c>
      <c r="B23" s="4">
        <f>F20</f>
        <v/>
      </c>
    </row>
    <row r="24">
      <c r="A24" s="4" t="inlineStr">
        <is>
          <t>Base storage capacity</t>
        </is>
      </c>
      <c r="B24" s="4">
        <f>Assumptions!$B$11</f>
        <v/>
      </c>
    </row>
    <row r="25">
      <c r="A25" s="4" t="inlineStr">
        <is>
          <t>Storage left</t>
        </is>
      </c>
      <c r="B25" s="4">
        <f>B24-B23</f>
        <v/>
      </c>
    </row>
    <row r="26">
      <c r="A26" s="4" t="inlineStr">
        <is>
          <t>Cards</t>
        </is>
      </c>
      <c r="B26" s="4">
        <f>B20</f>
        <v/>
      </c>
    </row>
    <row r="27">
      <c r="A27" s="4" t="inlineStr">
        <is>
          <t>Damage without combos</t>
        </is>
      </c>
      <c r="B27" s="4">
        <f>G20</f>
        <v/>
      </c>
    </row>
    <row r="28">
      <c r="A28" s="4" t="inlineStr">
        <is>
          <t>Gunpowder combo damage (two ignitions at 1 and 2 stacks)</t>
        </is>
      </c>
      <c r="B28" s="4">
        <f>'Gunpowder Combo'!D11+'Gunpowder Combo'!D12</f>
        <v/>
      </c>
    </row>
    <row r="29">
      <c r="A29" s="4" t="inlineStr">
        <is>
          <t>Estimated total damage</t>
        </is>
      </c>
      <c r="B29" s="4">
        <f>B27+B28</f>
        <v/>
      </c>
    </row>
    <row r="31">
      <c r="A31" s="3" t="inlineStr">
        <is>
          <t>Mana Curve</t>
        </is>
      </c>
      <c r="B31" s="3" t="inlineStr">
        <is>
          <t>Cards</t>
        </is>
      </c>
    </row>
    <row r="32">
      <c r="A32" s="4" t="inlineStr">
        <is>
          <t>0</t>
        </is>
      </c>
      <c r="B32" s="4">
        <f>SUMIF(D5:D19,0,B5:B19)</f>
        <v/>
      </c>
    </row>
    <row r="33">
      <c r="A33" s="4" t="inlineStr">
        <is>
          <t>1</t>
        </is>
      </c>
      <c r="B33" s="4">
        <f>SUMIF(D5:D19,1,B5:B19)</f>
        <v/>
      </c>
    </row>
    <row r="34">
      <c r="A34" s="4" t="inlineStr">
        <is>
          <t>2</t>
        </is>
      </c>
      <c r="B34" s="4">
        <f>SUMIF(D5:D19,2,B5:B19)</f>
        <v/>
      </c>
    </row>
    <row r="35">
      <c r="A35" s="4" t="inlineStr">
        <is>
          <t>3</t>
        </is>
      </c>
      <c r="B35" s="4">
        <f>SUMIF(D5:D19,3,B5:B19)</f>
        <v/>
      </c>
    </row>
    <row r="36">
      <c r="A36" s="4" t="inlineStr">
        <is>
          <t>Reaction (-)</t>
        </is>
      </c>
      <c r="B36" s="4">
        <f>SUMIF(D5:D19,"-",B5:B19)</f>
        <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44" customWidth="1" min="1" max="1"/>
    <col width="17" customWidth="1" min="2" max="2"/>
    <col width="14" customWidth="1" min="3" max="3"/>
    <col width="13" customWidth="1" min="4" max="4"/>
    <col width="15" customWidth="1" min="5" max="5"/>
    <col width="17" customWidth="1" min="6" max="6"/>
    <col width="18" customWidth="1" min="7" max="7"/>
  </cols>
  <sheetData>
    <row r="1">
      <c r="A1" s="1" t="inlineStr">
        <is>
          <t>Rewards and Upgrades</t>
        </is>
      </c>
    </row>
    <row r="2">
      <c r="A2" s="2" t="inlineStr">
        <is>
          <t>A loss pays half the coin reward, rounded down. HP bands: above 20, 10 to 20, below 10.</t>
        </is>
      </c>
    </row>
    <row r="4">
      <c r="A4" s="3" t="inlineStr">
        <is>
          <t>Level</t>
        </is>
      </c>
      <c r="B4" s="3" t="inlineStr">
        <is>
          <t>Captain</t>
        </is>
      </c>
      <c r="C4" s="3" t="inlineStr">
        <is>
          <t>Win (High HP)</t>
        </is>
      </c>
      <c r="D4" s="3" t="inlineStr">
        <is>
          <t>Win (Mid HP)</t>
        </is>
      </c>
      <c r="E4" s="3" t="inlineStr">
        <is>
          <t>Win (Low HP)</t>
        </is>
      </c>
      <c r="F4" s="3" t="inlineStr">
        <is>
          <t>Loss (High HP)</t>
        </is>
      </c>
      <c r="G4" s="3" t="inlineStr">
        <is>
          <t>Loss (Low HP)</t>
        </is>
      </c>
    </row>
    <row r="5">
      <c r="A5" s="4" t="n">
        <v>1</v>
      </c>
      <c r="B5" s="4" t="inlineStr">
        <is>
          <t>Captain Rumboat</t>
        </is>
      </c>
      <c r="C5" s="4" t="n">
        <v>30</v>
      </c>
      <c r="D5" s="4" t="n">
        <v>20</v>
      </c>
      <c r="E5" s="4" t="n">
        <v>10</v>
      </c>
      <c r="F5" s="4">
        <f>FLOOR(C5/2,1)</f>
        <v/>
      </c>
      <c r="G5" s="4">
        <f>FLOOR(E5/2,1)</f>
        <v/>
      </c>
    </row>
    <row r="6">
      <c r="A6" s="4" t="n">
        <v>2</v>
      </c>
      <c r="B6" s="4" t="inlineStr">
        <is>
          <t>Captain Loreley</t>
        </is>
      </c>
      <c r="C6" s="4" t="n">
        <v>45</v>
      </c>
      <c r="D6" s="4" t="n">
        <v>30</v>
      </c>
      <c r="E6" s="4" t="n">
        <v>15</v>
      </c>
      <c r="F6" s="4">
        <f>FLOOR(C6/2,1)</f>
        <v/>
      </c>
      <c r="G6" s="4">
        <f>FLOOR(E6/2,1)</f>
        <v/>
      </c>
    </row>
    <row r="7">
      <c r="A7" s="4" t="n">
        <v>3</v>
      </c>
      <c r="B7" s="4" t="inlineStr">
        <is>
          <t>Captain Nurgle</t>
        </is>
      </c>
      <c r="C7" s="4" t="n">
        <v>60</v>
      </c>
      <c r="D7" s="4" t="n">
        <v>40</v>
      </c>
      <c r="E7" s="4" t="n">
        <v>20</v>
      </c>
      <c r="F7" s="4">
        <f>FLOOR(C7/2,1)</f>
        <v/>
      </c>
      <c r="G7" s="4">
        <f>FLOOR(E7/2,1)</f>
        <v/>
      </c>
    </row>
    <row r="8">
      <c r="A8" s="4" t="n"/>
      <c r="B8" s="4" t="inlineStr">
        <is>
          <t>First full clear</t>
        </is>
      </c>
      <c r="C8" s="4">
        <f>SUM(C5:C7)</f>
        <v/>
      </c>
      <c r="D8" s="4">
        <f>SUM(D5:D7)</f>
        <v/>
      </c>
      <c r="E8" s="4">
        <f>SUM(E5:E7)</f>
        <v/>
      </c>
      <c r="F8" s="4" t="n"/>
      <c r="G8" s="4" t="n"/>
    </row>
    <row r="11">
      <c r="A11" s="3" t="inlineStr">
        <is>
          <t>Upgrade</t>
        </is>
      </c>
      <c r="B11" s="3" t="inlineStr">
        <is>
          <t>Level</t>
        </is>
      </c>
      <c r="C11" s="3" t="inlineStr">
        <is>
          <t>Value Gained</t>
        </is>
      </c>
      <c r="D11" s="3" t="inlineStr">
        <is>
          <t>Coin Cost</t>
        </is>
      </c>
      <c r="E11" s="3" t="inlineStr">
        <is>
          <t>Cumulative Cost</t>
        </is>
      </c>
      <c r="F11" s="3" t="inlineStr">
        <is>
          <t>Damage Equivalent</t>
        </is>
      </c>
      <c r="G11" s="3" t="inlineStr">
        <is>
          <t>Value per 100 Coins</t>
        </is>
      </c>
    </row>
    <row r="12">
      <c r="A12" s="4" t="inlineStr">
        <is>
          <t>Health</t>
        </is>
      </c>
      <c r="B12" s="4" t="n">
        <v>1</v>
      </c>
      <c r="C12" s="4" t="n">
        <v>5</v>
      </c>
      <c r="D12" s="4" t="n">
        <v>25</v>
      </c>
      <c r="E12" s="4">
        <f>D12</f>
        <v/>
      </c>
      <c r="F12" s="4">
        <f>C12*Assumptions!$B$7</f>
        <v/>
      </c>
      <c r="G12" s="10">
        <f>IF(ISNUMBER(F12),F12/D12*100,"")</f>
        <v/>
      </c>
    </row>
    <row r="13">
      <c r="A13" s="4" t="inlineStr">
        <is>
          <t>Health</t>
        </is>
      </c>
      <c r="B13" s="4" t="n">
        <v>2</v>
      </c>
      <c r="C13" s="4" t="n">
        <v>8</v>
      </c>
      <c r="D13" s="4" t="n">
        <v>45</v>
      </c>
      <c r="E13" s="4">
        <f>E12+D13</f>
        <v/>
      </c>
      <c r="F13" s="4">
        <f>C13*Assumptions!$B$7</f>
        <v/>
      </c>
      <c r="G13" s="10">
        <f>IF(ISNUMBER(F13),F13/D13*100,"")</f>
        <v/>
      </c>
    </row>
    <row r="14">
      <c r="A14" s="4" t="inlineStr">
        <is>
          <t>Health</t>
        </is>
      </c>
      <c r="B14" s="4" t="n">
        <v>3</v>
      </c>
      <c r="C14" s="4" t="n">
        <v>12</v>
      </c>
      <c r="D14" s="4" t="n">
        <v>70</v>
      </c>
      <c r="E14" s="4">
        <f>E13+D14</f>
        <v/>
      </c>
      <c r="F14" s="4">
        <f>C14*Assumptions!$B$7</f>
        <v/>
      </c>
      <c r="G14" s="10">
        <f>IF(ISNUMBER(F14),F14/D14*100,"")</f>
        <v/>
      </c>
    </row>
    <row r="15">
      <c r="A15" s="4" t="inlineStr">
        <is>
          <t>Mana</t>
        </is>
      </c>
      <c r="B15" s="4" t="n">
        <v>1</v>
      </c>
      <c r="C15" s="4" t="n">
        <v>1</v>
      </c>
      <c r="D15" s="4" t="n">
        <v>45</v>
      </c>
      <c r="E15" s="4">
        <f>D15</f>
        <v/>
      </c>
      <c r="F15" s="4">
        <f>C15*Assumptions!$B$5*Assumptions!$B$6</f>
        <v/>
      </c>
      <c r="G15" s="10">
        <f>IF(ISNUMBER(F15),F15/D15*100,"")</f>
        <v/>
      </c>
    </row>
    <row r="16">
      <c r="A16" s="4" t="inlineStr">
        <is>
          <t>Mana</t>
        </is>
      </c>
      <c r="B16" s="4" t="n">
        <v>2</v>
      </c>
      <c r="C16" s="4" t="n">
        <v>1</v>
      </c>
      <c r="D16" s="4" t="n">
        <v>90</v>
      </c>
      <c r="E16" s="4">
        <f>E15+D16</f>
        <v/>
      </c>
      <c r="F16" s="4">
        <f>C16*Assumptions!$B$5*Assumptions!$B$6</f>
        <v/>
      </c>
      <c r="G16" s="10">
        <f>IF(ISNUMBER(F16),F16/D16*100,"")</f>
        <v/>
      </c>
    </row>
    <row r="17">
      <c r="A17" s="4" t="inlineStr">
        <is>
          <t>Mana</t>
        </is>
      </c>
      <c r="B17" s="4" t="n">
        <v>3</v>
      </c>
      <c r="C17" s="4" t="n">
        <v>1</v>
      </c>
      <c r="D17" s="4" t="n">
        <v>150</v>
      </c>
      <c r="E17" s="4">
        <f>E16+D17</f>
        <v/>
      </c>
      <c r="F17" s="4">
        <f>C17*Assumptions!$B$5*Assumptions!$B$6</f>
        <v/>
      </c>
      <c r="G17" s="10">
        <f>IF(ISNUMBER(F17),F17/D17*100,"")</f>
        <v/>
      </c>
    </row>
    <row r="18">
      <c r="A18" s="4" t="inlineStr">
        <is>
          <t>Storage</t>
        </is>
      </c>
      <c r="B18" s="4" t="n">
        <v>1</v>
      </c>
      <c r="C18" s="4" t="n">
        <v>20</v>
      </c>
      <c r="D18" s="4" t="n">
        <v>15</v>
      </c>
      <c r="E18" s="4">
        <f>D18</f>
        <v/>
      </c>
      <c r="F18" s="4" t="inlineStr">
        <is>
          <t>Deck building room</t>
        </is>
      </c>
      <c r="G18" s="10">
        <f>IF(ISNUMBER(F18),F18/D18*100,"")</f>
        <v/>
      </c>
    </row>
    <row r="19">
      <c r="A19" s="4" t="inlineStr">
        <is>
          <t>Storage</t>
        </is>
      </c>
      <c r="B19" s="4" t="n">
        <v>2</v>
      </c>
      <c r="C19" s="4" t="n">
        <v>30</v>
      </c>
      <c r="D19" s="4" t="n">
        <v>30</v>
      </c>
      <c r="E19" s="4">
        <f>E18+D19</f>
        <v/>
      </c>
      <c r="F19" s="4" t="inlineStr">
        <is>
          <t>Deck building room</t>
        </is>
      </c>
      <c r="G19" s="10">
        <f>IF(ISNUMBER(F19),F19/D19*100,"")</f>
        <v/>
      </c>
    </row>
    <row r="20">
      <c r="A20" s="4" t="inlineStr">
        <is>
          <t>Storage</t>
        </is>
      </c>
      <c r="B20" s="4" t="n">
        <v>3</v>
      </c>
      <c r="C20" s="4" t="n">
        <v>40</v>
      </c>
      <c r="D20" s="4" t="n">
        <v>50</v>
      </c>
      <c r="E20" s="4">
        <f>E19+D20</f>
        <v/>
      </c>
      <c r="F20" s="4" t="inlineStr">
        <is>
          <t>Deck building room</t>
        </is>
      </c>
      <c r="G20" s="10">
        <f>IF(ISNUMBER(F20),F20/D20*100,"")</f>
        <v/>
      </c>
    </row>
    <row r="22">
      <c r="A22" s="3" t="inlineStr">
        <is>
          <t>Total to max every upgrade</t>
        </is>
      </c>
      <c r="B22" s="3">
        <f>SUM(D12:D20)</f>
        <v/>
      </c>
    </row>
    <row r="23">
      <c r="A23" s="4" t="inlineStr">
        <is>
          <t>Coins left after one full clear at high HP</t>
        </is>
      </c>
      <c r="B23" s="4">
        <f>B22-C8</f>
        <v/>
      </c>
    </row>
    <row r="24">
      <c r="A24" s="4" t="inlineStr">
        <is>
          <t>Extra high HP wins against Nurgle to max everything</t>
        </is>
      </c>
      <c r="B24" s="4">
        <f>ROUNDUP(B23/C7,0)</f>
        <v/>
      </c>
    </row>
    <row r="26">
      <c r="A26" s="9" t="inlineStr">
        <is>
          <t>Reading: the first Mana level is the best value in the shop, and Mana's value per coin drops with every level until Health overtakes it at Mana level 3, so the shop stays a real choice after the first purchase. Storage has no direct battle value and is priced lowest. Its first level (15 coins) is affordable from a single Level 1 win, which matters because the starter deck fills the base storage exactly.</t>
        </is>
      </c>
    </row>
    <row r="27"/>
    <row r="28"/>
  </sheetData>
  <mergeCells count="1">
    <mergeCell ref="A26:G2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2026-10-11T22:07:05Z</dcterms:created>
  <dcterms:modified xsi:type="dcterms:W3CDTF">2026-10-11T22:07:05Z</dcterms:modified>
</cp:coreProperties>
</file>